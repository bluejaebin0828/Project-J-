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tk130030\Documents\caseload degree plan\"/>
    </mc:Choice>
  </mc:AlternateContent>
  <xr:revisionPtr revIDLastSave="0" documentId="8_{100F6339-527F-4D12-8909-0E1DBBE65392}" xr6:coauthVersionLast="47" xr6:coauthVersionMax="47" xr10:uidLastSave="{00000000-0000-0000-0000-000000000000}"/>
  <bookViews>
    <workbookView xWindow="28680" yWindow="-120" windowWidth="29040" windowHeight="15720" xr2:uid="{00000000-000D-0000-FFFF-FFFF00000000}"/>
  </bookViews>
  <sheets>
    <sheet name="CS Degree Plan" sheetId="18" r:id="rId1"/>
    <sheet name="CS Flow Chart" sheetId="19" r:id="rId2"/>
    <sheet name="Minor" sheetId="24" r:id="rId3"/>
    <sheet name="Course History" sheetId="21" r:id="rId4"/>
    <sheet name="Technical Electives" sheetId="20" r:id="rId5"/>
    <sheet name="State Core" sheetId="22" r:id="rId6"/>
    <sheet name="Substitutions" sheetId="23" state="hidden" r:id="rId7"/>
    <sheet name="Table" sheetId="2" state="hidden" r:id="rId8"/>
  </sheets>
  <functionGroups builtInGroupCount="19"/>
  <definedNames>
    <definedName name="_xlnm.Print_Area" localSheetId="0">'CS Degree Plan'!$A$1:$H$69</definedName>
    <definedName name="_xlnm.Print_Area" localSheetId="1">'CS Flow Chart'!$A$1:$O$50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8" i="18" l="1"/>
  <c r="A42" i="18"/>
  <c r="A64" i="18"/>
  <c r="A58" i="18"/>
  <c r="A26" i="18"/>
  <c r="H65" i="18" l="1"/>
  <c r="H66" i="18" s="1"/>
  <c r="I67" i="18"/>
</calcChain>
</file>

<file path=xl/sharedStrings.xml><?xml version="1.0" encoding="utf-8"?>
<sst xmlns="http://schemas.openxmlformats.org/spreadsheetml/2006/main" count="870" uniqueCount="562">
  <si>
    <t>124 Hours (45 in residence, last semester at UTD) wih Min 2.0  Cumulative and Major GPA</t>
  </si>
  <si>
    <t>STUDENT:</t>
  </si>
  <si>
    <t>UTD ID:</t>
  </si>
  <si>
    <t>MAJOR INTRODUCTORY COURSES (First Year in College Only - Transfer Students Sub with Upper Level Technical Elective)</t>
  </si>
  <si>
    <t>Lower Division</t>
  </si>
  <si>
    <t>COURSE TITLE</t>
  </si>
  <si>
    <t>COURSE NUMBER</t>
  </si>
  <si>
    <t>PREREQUISITES</t>
  </si>
  <si>
    <t>GRADE</t>
  </si>
  <si>
    <t>SEM</t>
  </si>
  <si>
    <t>DONE</t>
  </si>
  <si>
    <t>NOTES</t>
  </si>
  <si>
    <t>Intro to Engineering and CS [First Year Only]</t>
  </si>
  <si>
    <t>ECS 1100</t>
  </si>
  <si>
    <t>Intro to CS and SE [First Year Only]</t>
  </si>
  <si>
    <t>CS 1200</t>
  </si>
  <si>
    <t>MAJOR PREPARATORY REQUIREMENTS (Major GPA)</t>
  </si>
  <si>
    <t>Programming Fundamentals</t>
  </si>
  <si>
    <t>CS 1436 [C]</t>
  </si>
  <si>
    <t>Computer Science I</t>
  </si>
  <si>
    <t>CS 1337 [C]</t>
  </si>
  <si>
    <t>CS 1436</t>
  </si>
  <si>
    <t>Discrete Mathematics for Computing I</t>
  </si>
  <si>
    <t>CS 2305 [C]</t>
  </si>
  <si>
    <t>Computer Science II</t>
  </si>
  <si>
    <t>CS 2336 [C]</t>
  </si>
  <si>
    <t xml:space="preserve">CS 2305 </t>
  </si>
  <si>
    <t>CS 1337</t>
  </si>
  <si>
    <t>CS 2337 [C]</t>
  </si>
  <si>
    <t>Computer Architecture</t>
  </si>
  <si>
    <t>CS 2340</t>
  </si>
  <si>
    <t>MATH 2413 [C]</t>
  </si>
  <si>
    <t>MATH 2417 [C]</t>
  </si>
  <si>
    <t>MATH 2414 [C]</t>
  </si>
  <si>
    <t>MATH 2413</t>
  </si>
  <si>
    <t>MATH 2419 [C]</t>
  </si>
  <si>
    <t>MATH 2417</t>
  </si>
  <si>
    <t>Linear Algebra</t>
  </si>
  <si>
    <t>MATH 2418 [C]</t>
  </si>
  <si>
    <t>MATH 2413 or 2417</t>
  </si>
  <si>
    <t>Mechanics</t>
  </si>
  <si>
    <t>PHYS 2325</t>
  </si>
  <si>
    <t>PHYS 2125</t>
  </si>
  <si>
    <t>Physics Laboratory I</t>
  </si>
  <si>
    <t xml:space="preserve">PHYS 2325 </t>
  </si>
  <si>
    <t>Electromagnetism and Waves</t>
  </si>
  <si>
    <t>PHYS 2326</t>
  </si>
  <si>
    <t>MATH 2414 or 2419</t>
  </si>
  <si>
    <t>PHYS 2126</t>
  </si>
  <si>
    <t>Physics Laboratory II</t>
  </si>
  <si>
    <t>Upper Division</t>
  </si>
  <si>
    <t>MAJOR CORE REQUIREMENTS (Major GPA)</t>
  </si>
  <si>
    <t>Professional Responsibility in CS/SE</t>
  </si>
  <si>
    <t>CS 3162</t>
  </si>
  <si>
    <t>CS 3345</t>
  </si>
  <si>
    <t xml:space="preserve"> CS 3354</t>
  </si>
  <si>
    <t>Probability &amp; Statistics in CS/SE</t>
  </si>
  <si>
    <t>CS 3341</t>
  </si>
  <si>
    <t>MATH 2418</t>
  </si>
  <si>
    <t>Data Structures &amp; Intro to Algorithmic Analysis</t>
  </si>
  <si>
    <t>Software Engineering</t>
  </si>
  <si>
    <t>CS 3354</t>
  </si>
  <si>
    <t>CS 2305</t>
  </si>
  <si>
    <t>CS 2336 or 2337</t>
  </si>
  <si>
    <t>C/C++ Programming in a UNIX Envirn</t>
  </si>
  <si>
    <t>CS 3377</t>
  </si>
  <si>
    <t>Organization of Programming Lang</t>
  </si>
  <si>
    <t>CS 4337</t>
  </si>
  <si>
    <t xml:space="preserve"> CS 2305</t>
  </si>
  <si>
    <t>Digital Logic and Computer Design</t>
  </si>
  <si>
    <t>CS 4341</t>
  </si>
  <si>
    <t xml:space="preserve"> CS 2340</t>
  </si>
  <si>
    <t>Digital Systems Laboratory</t>
  </si>
  <si>
    <t>CS 4141</t>
  </si>
  <si>
    <t>Database Systems</t>
  </si>
  <si>
    <t>CS 4347</t>
  </si>
  <si>
    <t>Operating Systems Concepts</t>
  </si>
  <si>
    <t>CS 4348</t>
  </si>
  <si>
    <t xml:space="preserve"> CS 3345</t>
  </si>
  <si>
    <t xml:space="preserve"> CS 3377</t>
  </si>
  <si>
    <t>Adv Algorithm Design &amp; Analysis</t>
  </si>
  <si>
    <t>CS 4349</t>
  </si>
  <si>
    <t>Automata Theory</t>
  </si>
  <si>
    <t>CS 4384</t>
  </si>
  <si>
    <t>Computer Science Project</t>
  </si>
  <si>
    <t>CS 4485</t>
  </si>
  <si>
    <t xml:space="preserve">  3 CS 43XX</t>
  </si>
  <si>
    <t>Professional &amp; Technical Communication</t>
  </si>
  <si>
    <t>ECS 2390</t>
  </si>
  <si>
    <t xml:space="preserve"> RHET 1302</t>
  </si>
  <si>
    <t>TECHNICAL ELECTIVES (Major GPA)</t>
  </si>
  <si>
    <t>CS Technical Elective</t>
  </si>
  <si>
    <t>CS 4XXX</t>
  </si>
  <si>
    <t>REMAINING STATE CORE CURRICULUM</t>
  </si>
  <si>
    <t>Communication (Core: 010)</t>
  </si>
  <si>
    <t>RHET 1302</t>
  </si>
  <si>
    <t>Government/ Political Science (Core: 070)</t>
  </si>
  <si>
    <t>GOVT 2305</t>
  </si>
  <si>
    <t>American History (Core: 060)</t>
  </si>
  <si>
    <t>click to view options</t>
  </si>
  <si>
    <t>Language, Philosophy and Culture (Core: 040)</t>
  </si>
  <si>
    <t>Creative Arts (Core: 050)</t>
  </si>
  <si>
    <t>Social Behavioral Science (Core: 080)</t>
  </si>
  <si>
    <t>FREE ELECTIVES (10 Hours)</t>
  </si>
  <si>
    <t>Free Elective</t>
  </si>
  <si>
    <t xml:space="preserve">Free Elective </t>
  </si>
  <si>
    <t>Total Hours Met (out of 124)</t>
  </si>
  <si>
    <t>Long Semesters Left (15 credit hour average)</t>
  </si>
  <si>
    <t>124 Hours (45 in residence, last semester at UTD) wih Min 2.0 GPA</t>
  </si>
  <si>
    <t>Prerequisite</t>
  </si>
  <si>
    <t>Corequisite</t>
  </si>
  <si>
    <t>SEMESTER
 ONE</t>
  </si>
  <si>
    <r>
      <rPr>
        <b/>
        <sz val="12"/>
        <color theme="1"/>
        <rFont val="Calibri"/>
        <family val="2"/>
        <scheme val="minor"/>
      </rPr>
      <t xml:space="preserve">ECS 1100
</t>
    </r>
    <r>
      <rPr>
        <sz val="12"/>
        <color theme="1"/>
        <rFont val="Calibri"/>
        <family val="2"/>
        <scheme val="minor"/>
      </rPr>
      <t xml:space="preserve">Introduction to Engineering and Computer Science </t>
    </r>
  </si>
  <si>
    <r>
      <rPr>
        <b/>
        <sz val="12"/>
        <color theme="1"/>
        <rFont val="Calibri"/>
        <family val="2"/>
        <scheme val="minor"/>
      </rPr>
      <t xml:space="preserve">CS 1200
</t>
    </r>
    <r>
      <rPr>
        <sz val="12"/>
        <color theme="1"/>
        <rFont val="Calibri"/>
        <family val="2"/>
        <scheme val="minor"/>
      </rPr>
      <t>Introduction to CS&amp;SE</t>
    </r>
  </si>
  <si>
    <r>
      <rPr>
        <b/>
        <sz val="12"/>
        <color theme="1"/>
        <rFont val="Calibri"/>
        <family val="2"/>
        <scheme val="minor"/>
      </rPr>
      <t xml:space="preserve">MATH 2413
 [C]
</t>
    </r>
    <r>
      <rPr>
        <sz val="12"/>
        <color theme="1"/>
        <rFont val="Calibri"/>
        <family val="2"/>
        <scheme val="minor"/>
      </rPr>
      <t xml:space="preserve">Differential Calculus </t>
    </r>
  </si>
  <si>
    <t>Or</t>
  </si>
  <si>
    <r>
      <rPr>
        <b/>
        <sz val="12"/>
        <color theme="1"/>
        <rFont val="Calibri"/>
        <family val="2"/>
        <scheme val="minor"/>
      </rPr>
      <t xml:space="preserve">MATH 2417
 [C]
</t>
    </r>
    <r>
      <rPr>
        <sz val="12"/>
        <color theme="1"/>
        <rFont val="Calibri"/>
        <family val="2"/>
        <scheme val="minor"/>
      </rPr>
      <t xml:space="preserve">Calculus I </t>
    </r>
  </si>
  <si>
    <r>
      <t xml:space="preserve"> </t>
    </r>
    <r>
      <rPr>
        <b/>
        <sz val="12"/>
        <color theme="1"/>
        <rFont val="Calibri"/>
        <family val="2"/>
        <scheme val="minor"/>
      </rPr>
      <t>CS 1436 [C]</t>
    </r>
    <r>
      <rPr>
        <sz val="12"/>
        <color theme="1"/>
        <rFont val="Calibri"/>
        <family val="2"/>
        <scheme val="minor"/>
      </rPr>
      <t xml:space="preserve"> Programming Fundamentals</t>
    </r>
  </si>
  <si>
    <r>
      <rPr>
        <b/>
        <sz val="12"/>
        <color theme="1"/>
        <rFont val="Calibri"/>
        <family val="2"/>
        <scheme val="minor"/>
      </rPr>
      <t>CORE</t>
    </r>
    <r>
      <rPr>
        <sz val="12"/>
        <color theme="1"/>
        <rFont val="Calibri"/>
        <family val="2"/>
        <scheme val="minor"/>
      </rPr>
      <t xml:space="preserve"> 
(3 hours)</t>
    </r>
  </si>
  <si>
    <t>First Time in College Only, Transfer Students Sub UL Technical Elective</t>
  </si>
  <si>
    <t>(ALEKS 80%) or (C- in MATH 2312) for 2413</t>
  </si>
  <si>
    <t>(ALEKS 85%) or (C- in MATH 2312) for 2417</t>
  </si>
  <si>
    <t>SEMESTER
 TWO</t>
  </si>
  <si>
    <r>
      <rPr>
        <b/>
        <sz val="12"/>
        <color theme="1"/>
        <rFont val="Calibri"/>
        <family val="2"/>
        <scheme val="minor"/>
      </rPr>
      <t xml:space="preserve">PHYS 2125
</t>
    </r>
    <r>
      <rPr>
        <sz val="12"/>
        <color theme="1"/>
        <rFont val="Calibri"/>
        <family val="2"/>
        <scheme val="minor"/>
      </rPr>
      <t>Physics Mechanics  Lab</t>
    </r>
  </si>
  <si>
    <r>
      <rPr>
        <b/>
        <sz val="12"/>
        <color theme="1"/>
        <rFont val="Calibri"/>
        <family val="2"/>
        <scheme val="minor"/>
      </rPr>
      <t xml:space="preserve">PHYS 2325
</t>
    </r>
    <r>
      <rPr>
        <sz val="12"/>
        <color theme="1"/>
        <rFont val="Calibri"/>
        <family val="2"/>
        <scheme val="minor"/>
      </rPr>
      <t>Physics Mechanics Lecture and Lab</t>
    </r>
  </si>
  <si>
    <r>
      <rPr>
        <b/>
        <sz val="12"/>
        <color theme="1"/>
        <rFont val="Calibri"/>
        <family val="2"/>
        <scheme val="minor"/>
      </rPr>
      <t xml:space="preserve">MATH 2414  [C]
</t>
    </r>
    <r>
      <rPr>
        <sz val="12"/>
        <color theme="1"/>
        <rFont val="Calibri"/>
        <family val="2"/>
        <scheme val="minor"/>
      </rPr>
      <t xml:space="preserve">Integral Calculus </t>
    </r>
  </si>
  <si>
    <r>
      <rPr>
        <b/>
        <sz val="12"/>
        <color theme="1"/>
        <rFont val="Calibri"/>
        <family val="2"/>
        <scheme val="minor"/>
      </rPr>
      <t xml:space="preserve">MATH 2419 [C]
</t>
    </r>
    <r>
      <rPr>
        <sz val="12"/>
        <color theme="1"/>
        <rFont val="Calibri"/>
        <family val="2"/>
        <scheme val="minor"/>
      </rPr>
      <t xml:space="preserve">Calculus II </t>
    </r>
  </si>
  <si>
    <r>
      <t xml:space="preserve"> </t>
    </r>
    <r>
      <rPr>
        <b/>
        <sz val="12"/>
        <color theme="1"/>
        <rFont val="Calibri"/>
        <family val="2"/>
        <scheme val="minor"/>
      </rPr>
      <t xml:space="preserve">CS 2305 [C]
</t>
    </r>
    <r>
      <rPr>
        <sz val="12"/>
        <color theme="1"/>
        <rFont val="Calibri"/>
        <family val="2"/>
        <scheme val="minor"/>
      </rPr>
      <t>Discrete Mathematics I</t>
    </r>
  </si>
  <si>
    <r>
      <rPr>
        <b/>
        <sz val="12"/>
        <color theme="1"/>
        <rFont val="Calibri"/>
        <family val="2"/>
        <scheme val="minor"/>
      </rPr>
      <t xml:space="preserve">CS 1337 [C]
</t>
    </r>
    <r>
      <rPr>
        <sz val="12"/>
        <color theme="1"/>
        <rFont val="Calibri"/>
        <family val="2"/>
        <scheme val="minor"/>
      </rPr>
      <t xml:space="preserve">Computer Science I </t>
    </r>
  </si>
  <si>
    <t>MATH 2414 of 2419</t>
  </si>
  <si>
    <t>SEMESTER
 THREE</t>
  </si>
  <si>
    <r>
      <rPr>
        <b/>
        <sz val="12"/>
        <color theme="1"/>
        <rFont val="Calibri"/>
        <family val="2"/>
        <scheme val="minor"/>
      </rPr>
      <t xml:space="preserve">PHYS 2126
</t>
    </r>
    <r>
      <rPr>
        <sz val="12"/>
        <color theme="1"/>
        <rFont val="Calibri"/>
        <family val="2"/>
        <scheme val="minor"/>
      </rPr>
      <t xml:space="preserve">Electromagnetism and Waves and Lab </t>
    </r>
  </si>
  <si>
    <r>
      <rPr>
        <b/>
        <sz val="12"/>
        <color theme="1"/>
        <rFont val="Calibri"/>
        <family val="2"/>
        <scheme val="minor"/>
      </rPr>
      <t xml:space="preserve">PHYS 2326
</t>
    </r>
    <r>
      <rPr>
        <sz val="12"/>
        <color theme="1"/>
        <rFont val="Calibri"/>
        <family val="2"/>
        <scheme val="minor"/>
      </rPr>
      <t>Electromagnetism and Waves Lecture</t>
    </r>
  </si>
  <si>
    <r>
      <rPr>
        <b/>
        <sz val="12"/>
        <color theme="1"/>
        <rFont val="Calibri"/>
        <family val="2"/>
        <scheme val="minor"/>
      </rPr>
      <t xml:space="preserve">CS 2340 
</t>
    </r>
    <r>
      <rPr>
        <sz val="12"/>
        <color theme="1"/>
        <rFont val="Calibri"/>
        <family val="2"/>
        <scheme val="minor"/>
      </rPr>
      <t xml:space="preserve">Computer Architecture </t>
    </r>
  </si>
  <si>
    <r>
      <rPr>
        <b/>
        <sz val="12"/>
        <color theme="1"/>
        <rFont val="Calibri"/>
        <family val="2"/>
        <scheme val="minor"/>
      </rPr>
      <t xml:space="preserve">CS 2336 or CS 2337 [C]
</t>
    </r>
    <r>
      <rPr>
        <sz val="12"/>
        <color theme="1"/>
        <rFont val="Calibri"/>
        <family val="2"/>
        <scheme val="minor"/>
      </rPr>
      <t xml:space="preserve"> Computer Science Il </t>
    </r>
  </si>
  <si>
    <r>
      <rPr>
        <b/>
        <sz val="12"/>
        <color theme="1"/>
        <rFont val="Calibri"/>
        <family val="2"/>
        <scheme val="minor"/>
      </rPr>
      <t xml:space="preserve">Math 2418 [C]
</t>
    </r>
    <r>
      <rPr>
        <sz val="12"/>
        <color theme="1"/>
        <rFont val="Calibri"/>
        <family val="2"/>
        <scheme val="minor"/>
      </rPr>
      <t xml:space="preserve"> Linear Algebra </t>
    </r>
  </si>
  <si>
    <t xml:space="preserve"> CS 1337</t>
  </si>
  <si>
    <t>SEMESTER
 FOUR</t>
  </si>
  <si>
    <r>
      <rPr>
        <b/>
        <sz val="12"/>
        <color theme="1"/>
        <rFont val="Calibri"/>
        <family val="2"/>
        <scheme val="minor"/>
      </rPr>
      <t xml:space="preserve">ECS 2390 
</t>
    </r>
    <r>
      <rPr>
        <sz val="12"/>
        <color theme="1"/>
        <rFont val="Calibri"/>
        <family val="2"/>
        <scheme val="minor"/>
      </rPr>
      <t xml:space="preserve">Professional and Technical Communication </t>
    </r>
  </si>
  <si>
    <r>
      <rPr>
        <b/>
        <sz val="12"/>
        <color theme="1"/>
        <rFont val="Calibri"/>
        <family val="2"/>
        <scheme val="minor"/>
      </rPr>
      <t xml:space="preserve"> CS 3341 
</t>
    </r>
    <r>
      <rPr>
        <sz val="11"/>
        <color theme="1"/>
        <rFont val="Calibri"/>
        <family val="2"/>
        <scheme val="minor"/>
      </rPr>
      <t>Probability and Statistics in Computer Science and Software Engineering</t>
    </r>
  </si>
  <si>
    <r>
      <rPr>
        <b/>
        <sz val="12"/>
        <color theme="1"/>
        <rFont val="Calibri"/>
        <family val="2"/>
        <scheme val="minor"/>
      </rPr>
      <t xml:space="preserve">CS 3345 
</t>
    </r>
    <r>
      <rPr>
        <sz val="12"/>
        <color theme="1"/>
        <rFont val="Calibri"/>
        <family val="2"/>
        <scheme val="minor"/>
      </rPr>
      <t xml:space="preserve">Data Structures and Introduction to Algorithmic Analysis </t>
    </r>
  </si>
  <si>
    <r>
      <rPr>
        <b/>
        <sz val="12"/>
        <color theme="1"/>
        <rFont val="Calibri"/>
        <family val="2"/>
        <scheme val="minor"/>
      </rPr>
      <t xml:space="preserve">CS 3377 
</t>
    </r>
    <r>
      <rPr>
        <sz val="12"/>
        <color theme="1"/>
        <rFont val="Calibri"/>
        <family val="2"/>
        <scheme val="minor"/>
      </rPr>
      <t>Systems Programming in UNIX and Other Environments</t>
    </r>
  </si>
  <si>
    <t>SEMESTER 
FIVE</t>
  </si>
  <si>
    <r>
      <rPr>
        <b/>
        <sz val="12"/>
        <color theme="1"/>
        <rFont val="Calibri"/>
        <family val="2"/>
        <scheme val="minor"/>
      </rPr>
      <t xml:space="preserve">CS 4141 
</t>
    </r>
    <r>
      <rPr>
        <sz val="12"/>
        <color theme="1"/>
        <rFont val="Calibri"/>
        <family val="2"/>
        <scheme val="minor"/>
      </rPr>
      <t xml:space="preserve">Digital Logic and Computer Design Lab </t>
    </r>
  </si>
  <si>
    <r>
      <rPr>
        <b/>
        <sz val="12"/>
        <color theme="1"/>
        <rFont val="Calibri"/>
        <family val="2"/>
        <scheme val="minor"/>
      </rPr>
      <t xml:space="preserve">CS 4341 
</t>
    </r>
    <r>
      <rPr>
        <sz val="12"/>
        <color theme="1"/>
        <rFont val="Calibri"/>
        <family val="2"/>
        <scheme val="minor"/>
      </rPr>
      <t xml:space="preserve">Digital Logic and Computer Design Lecture </t>
    </r>
  </si>
  <si>
    <r>
      <rPr>
        <b/>
        <sz val="12"/>
        <color theme="1"/>
        <rFont val="Calibri"/>
        <family val="2"/>
        <scheme val="minor"/>
      </rPr>
      <t xml:space="preserve">CS 4337 
</t>
    </r>
    <r>
      <rPr>
        <sz val="12"/>
        <color theme="1"/>
        <rFont val="Calibri"/>
        <family val="2"/>
        <scheme val="minor"/>
      </rPr>
      <t xml:space="preserve">Organization of Programming Lang </t>
    </r>
  </si>
  <si>
    <r>
      <rPr>
        <b/>
        <sz val="12"/>
        <color theme="1"/>
        <rFont val="Calibri"/>
        <family val="2"/>
        <scheme val="minor"/>
      </rPr>
      <t xml:space="preserve"> CS 3354 
</t>
    </r>
    <r>
      <rPr>
        <sz val="12"/>
        <color theme="1"/>
        <rFont val="Calibri"/>
        <family val="2"/>
        <scheme val="minor"/>
      </rPr>
      <t>Software Engineering</t>
    </r>
  </si>
  <si>
    <t>SEMESTER
 SIX</t>
  </si>
  <si>
    <r>
      <rPr>
        <b/>
        <sz val="12"/>
        <color theme="1"/>
        <rFont val="Calibri"/>
        <family val="2"/>
        <scheme val="minor"/>
      </rPr>
      <t xml:space="preserve"> CS 4349 
</t>
    </r>
    <r>
      <rPr>
        <sz val="12"/>
        <color theme="1"/>
        <rFont val="Calibri"/>
        <family val="2"/>
        <scheme val="minor"/>
      </rPr>
      <t>Advanced Algorithm Design and Analysis</t>
    </r>
  </si>
  <si>
    <r>
      <rPr>
        <b/>
        <sz val="12"/>
        <color theme="1"/>
        <rFont val="Calibri"/>
        <family val="2"/>
        <scheme val="minor"/>
      </rPr>
      <t xml:space="preserve">CS 4348 
</t>
    </r>
    <r>
      <rPr>
        <sz val="12"/>
        <color theme="1"/>
        <rFont val="Calibri"/>
        <family val="2"/>
        <scheme val="minor"/>
      </rPr>
      <t xml:space="preserve">Operating Systems Concepts </t>
    </r>
  </si>
  <si>
    <r>
      <rPr>
        <b/>
        <sz val="12"/>
        <color theme="1"/>
        <rFont val="Calibri"/>
        <family val="2"/>
        <scheme val="minor"/>
      </rPr>
      <t xml:space="preserve">Free Elective
</t>
    </r>
    <r>
      <rPr>
        <sz val="12"/>
        <color theme="1"/>
        <rFont val="Calibri"/>
        <family val="2"/>
        <scheme val="minor"/>
      </rPr>
      <t xml:space="preserve"> (3 hours- Student Choice)</t>
    </r>
  </si>
  <si>
    <r>
      <rPr>
        <b/>
        <sz val="12"/>
        <color theme="1"/>
        <rFont val="Calibri"/>
        <family val="2"/>
        <scheme val="minor"/>
      </rPr>
      <t xml:space="preserve">CS 4XXX </t>
    </r>
    <r>
      <rPr>
        <sz val="12"/>
        <color theme="1"/>
        <rFont val="Calibri"/>
        <family val="2"/>
        <scheme val="minor"/>
      </rPr>
      <t xml:space="preserve">
CS Technical Elective</t>
    </r>
  </si>
  <si>
    <t>SEMESTER
 SEVEN</t>
  </si>
  <si>
    <r>
      <rPr>
        <b/>
        <sz val="12"/>
        <color theme="1"/>
        <rFont val="Calibri"/>
        <family val="2"/>
        <scheme val="minor"/>
      </rPr>
      <t xml:space="preserve">CS 4384 
</t>
    </r>
    <r>
      <rPr>
        <sz val="12"/>
        <color theme="1"/>
        <rFont val="Calibri"/>
        <family val="2"/>
        <scheme val="minor"/>
      </rPr>
      <t xml:space="preserve">Automata Theory </t>
    </r>
  </si>
  <si>
    <r>
      <rPr>
        <b/>
        <sz val="12"/>
        <color theme="1"/>
        <rFont val="Calibri"/>
        <family val="2"/>
        <scheme val="minor"/>
      </rPr>
      <t xml:space="preserve">CS 4347 
</t>
    </r>
    <r>
      <rPr>
        <sz val="12"/>
        <color theme="1"/>
        <rFont val="Calibri"/>
        <family val="2"/>
        <scheme val="minor"/>
      </rPr>
      <t xml:space="preserve">Database Systems </t>
    </r>
  </si>
  <si>
    <r>
      <rPr>
        <b/>
        <sz val="12"/>
        <color theme="1"/>
        <rFont val="Calibri"/>
        <family val="2"/>
        <scheme val="minor"/>
      </rPr>
      <t xml:space="preserve">Free Elective
</t>
    </r>
    <r>
      <rPr>
        <sz val="12"/>
        <color theme="1"/>
        <rFont val="Calibri"/>
        <family val="2"/>
        <scheme val="minor"/>
      </rPr>
      <t xml:space="preserve"> (1 hours- Student Choice)</t>
    </r>
  </si>
  <si>
    <t>SEMESTER
 EIGHT</t>
  </si>
  <si>
    <r>
      <rPr>
        <b/>
        <sz val="12"/>
        <color theme="1"/>
        <rFont val="Calibri"/>
        <family val="2"/>
        <scheme val="minor"/>
      </rPr>
      <t xml:space="preserve">CS 4485 
</t>
    </r>
    <r>
      <rPr>
        <sz val="12"/>
        <color theme="1"/>
        <rFont val="Calibri"/>
        <family val="2"/>
        <scheme val="minor"/>
      </rPr>
      <t xml:space="preserve">Computer Science Project </t>
    </r>
  </si>
  <si>
    <t>TECHNICAL ELECTIVE OPTIONS</t>
  </si>
  <si>
    <t>COURSE #</t>
  </si>
  <si>
    <t>Special Topics in Computer Science</t>
  </si>
  <si>
    <t>CS 4301</t>
  </si>
  <si>
    <t>CS 3345 or CS 3345 or SE 3345</t>
  </si>
  <si>
    <t>Intelligent Systems Analysis</t>
  </si>
  <si>
    <t>CS 4314</t>
  </si>
  <si>
    <t>MATH 2414 or MATH 2419</t>
  </si>
  <si>
    <t>CS 3341 or SE 3341</t>
  </si>
  <si>
    <t>Intelligent Systems Design</t>
  </si>
  <si>
    <t>CS 4315</t>
  </si>
  <si>
    <t>CGS 4314 or CS 4314</t>
  </si>
  <si>
    <t>Numerical Analysis</t>
  </si>
  <si>
    <t>CS 4334</t>
  </si>
  <si>
    <t>MATH 2370 or CE/CS 1337</t>
  </si>
  <si>
    <t>MATH 2451 or MATH 3351</t>
  </si>
  <si>
    <t>Advanced JAVA</t>
  </si>
  <si>
    <t>CS 4336</t>
  </si>
  <si>
    <t>CE 2336 or CS 2336 or CS 2337 (or eqv)</t>
  </si>
  <si>
    <t>Introduction to Human-Computer Interaction</t>
  </si>
  <si>
    <t>CS 4352</t>
  </si>
  <si>
    <t>Computer Graphics</t>
  </si>
  <si>
    <t>CS 4361</t>
  </si>
  <si>
    <t>CE 2336 or CS 2336 or CS 2337</t>
  </si>
  <si>
    <t>Artificial Intelligence</t>
  </si>
  <si>
    <t>CS 4365</t>
  </si>
  <si>
    <t>Introduction to Machine Learning</t>
  </si>
  <si>
    <t>CS 4375</t>
  </si>
  <si>
    <t>Object Oriented Programming Systems</t>
  </si>
  <si>
    <t>CS 4376 or SE 4376</t>
  </si>
  <si>
    <t>CE/CS 2336 or CS 2337 (C or better)</t>
  </si>
  <si>
    <t>Compiler Design</t>
  </si>
  <si>
    <t>CS 4386</t>
  </si>
  <si>
    <t>Data &amp; Applications Security</t>
  </si>
  <si>
    <t>CS 4389</t>
  </si>
  <si>
    <t>CS or SE 4347</t>
  </si>
  <si>
    <t>Computer Networks</t>
  </si>
  <si>
    <t>CS 4390</t>
  </si>
  <si>
    <t>Intro to Computer Vision</t>
  </si>
  <si>
    <t>CS 4391</t>
  </si>
  <si>
    <t>Computer Animation</t>
  </si>
  <si>
    <t>CS 4392</t>
  </si>
  <si>
    <t>Computer and Network Security</t>
  </si>
  <si>
    <t>CS 4393</t>
  </si>
  <si>
    <t>CS 4348 or CE 4348 or SE 4348</t>
  </si>
  <si>
    <t>CE 4390 or CS 4390</t>
  </si>
  <si>
    <t>Implementation of Modern Operating Systems</t>
  </si>
  <si>
    <t>CS 4394</t>
  </si>
  <si>
    <t>Human Language Technologies</t>
  </si>
  <si>
    <t>CS 4395</t>
  </si>
  <si>
    <t>Networking Laboratory</t>
  </si>
  <si>
    <t>CS 4396</t>
  </si>
  <si>
    <t>Embedded Computer Systems</t>
  </si>
  <si>
    <t>CS 4397</t>
  </si>
  <si>
    <t>Digital Forensics</t>
  </si>
  <si>
    <t>CS 4398</t>
  </si>
  <si>
    <t>CS 4390 or CE 4390</t>
  </si>
  <si>
    <t>Undergraduate Topics in Computer Science</t>
  </si>
  <si>
    <t>CS 4V95</t>
  </si>
  <si>
    <t>Introduction to VLSI Design</t>
  </si>
  <si>
    <t>EE 4325</t>
  </si>
  <si>
    <t>Requirements Engineering</t>
  </si>
  <si>
    <t>SE 4351</t>
  </si>
  <si>
    <t>SE 3306</t>
  </si>
  <si>
    <t>CE 3354 or CS 3354 or SE 3354</t>
  </si>
  <si>
    <t>Software Architecture and Design</t>
  </si>
  <si>
    <t>SE 4352</t>
  </si>
  <si>
    <t>SE 3396</t>
  </si>
  <si>
    <t>Software Testing, Verification, Validation, and Quality Assurance</t>
  </si>
  <si>
    <t>SE 4367</t>
  </si>
  <si>
    <t>Software Project Planning and Management</t>
  </si>
  <si>
    <t>SE 4381</t>
  </si>
  <si>
    <t>Undergraduate Research in Computer Science</t>
  </si>
  <si>
    <t>CS 4V98</t>
  </si>
  <si>
    <t>Requires professor consent</t>
  </si>
  <si>
    <t>Senior Honors in Computer Science</t>
  </si>
  <si>
    <t>CS 4399</t>
  </si>
  <si>
    <t>STATE CORE OPTIONS</t>
  </si>
  <si>
    <t>CORE 040</t>
  </si>
  <si>
    <t>CORE 050</t>
  </si>
  <si>
    <t>CORE 060</t>
  </si>
  <si>
    <t>CORE 080</t>
  </si>
  <si>
    <t>American Popular Culture</t>
  </si>
  <si>
    <t xml:space="preserve">AMS 2300 </t>
  </si>
  <si>
    <t>Survey of Western Art History: Ancient to Medieval</t>
  </si>
  <si>
    <t xml:space="preserve">AHST 1303 </t>
  </si>
  <si>
    <t>U.S. History Survey to Civil War</t>
  </si>
  <si>
    <t>HIST 1301</t>
  </si>
  <si>
    <t>Making Choices in Free Market Systems</t>
  </si>
  <si>
    <t xml:space="preserve">BA 1310 </t>
  </si>
  <si>
    <t>American Studies for the Twenty-First Century</t>
  </si>
  <si>
    <t xml:space="preserve">AMS 2341 </t>
  </si>
  <si>
    <t>Survey of Western Art History: Renaissance to Modern</t>
  </si>
  <si>
    <t>AHST 1304</t>
  </si>
  <si>
    <t xml:space="preserve"> U.S. History Survey from Civil War</t>
  </si>
  <si>
    <t>HIST 1302</t>
  </si>
  <si>
    <t>Business in a Global World</t>
  </si>
  <si>
    <t>BA 1320</t>
  </si>
  <si>
    <t>Introduction to TechnoCulture</t>
  </si>
  <si>
    <t xml:space="preserve">ATCM 2300 </t>
  </si>
  <si>
    <t>Understanding Art</t>
  </si>
  <si>
    <t xml:space="preserve">AHST 2331 </t>
  </si>
  <si>
    <t xml:space="preserve"> History of Texas</t>
  </si>
  <si>
    <t>HIST 2301</t>
  </si>
  <si>
    <t>Lifespan Development</t>
  </si>
  <si>
    <t xml:space="preserve">CLDP 2314 </t>
  </si>
  <si>
    <t>Media Histories</t>
  </si>
  <si>
    <t xml:space="preserve">ATCM 2322 </t>
  </si>
  <si>
    <t>Exploration of the Arts</t>
  </si>
  <si>
    <t xml:space="preserve">ARTS 1301 </t>
  </si>
  <si>
    <t>Themes and Ideas in American History</t>
  </si>
  <si>
    <t xml:space="preserve">HIST 2330 </t>
  </si>
  <si>
    <t>Introduction to Criminal Justice</t>
  </si>
  <si>
    <t>CRIM 1301</t>
  </si>
  <si>
    <t>Introduction to Ethnic Studies</t>
  </si>
  <si>
    <t xml:space="preserve">ATCM 2325 </t>
  </si>
  <si>
    <t>Reading Media Critically</t>
  </si>
  <si>
    <t xml:space="preserve">ATCM 2321 </t>
  </si>
  <si>
    <t xml:space="preserve"> African-American History</t>
  </si>
  <si>
    <t>HIST 2381</t>
  </si>
  <si>
    <t>Introduction to Crime and Criminology</t>
  </si>
  <si>
    <t xml:space="preserve">CRIM 1307 </t>
  </si>
  <si>
    <t>Transnational Film and Video</t>
  </si>
  <si>
    <t xml:space="preserve">FILM 1303 </t>
  </si>
  <si>
    <t>Introduction to Creative Writing</t>
  </si>
  <si>
    <t xml:space="preserve">CRWT 2301 </t>
  </si>
  <si>
    <t>U.S. Women from Settlement to Present</t>
  </si>
  <si>
    <t xml:space="preserve">HIST 2384 </t>
  </si>
  <si>
    <t xml:space="preserve"> Principles of Macroeconomics</t>
  </si>
  <si>
    <t>ECON 2301</t>
  </si>
  <si>
    <t>Middle East Civilizations</t>
  </si>
  <si>
    <t xml:space="preserve">HIST 2340 </t>
  </si>
  <si>
    <t>Introduction to World Dance Forms</t>
  </si>
  <si>
    <t xml:space="preserve">DANC 1305 </t>
  </si>
  <si>
    <t>Principles of Microeconomics</t>
  </si>
  <si>
    <t xml:space="preserve">ECON 2302 </t>
  </si>
  <si>
    <t xml:space="preserve"> East Asian Civilizations</t>
  </si>
  <si>
    <t>HIST 2341</t>
  </si>
  <si>
    <t>Understanding Dance</t>
  </si>
  <si>
    <t xml:space="preserve">DANC 1310 </t>
  </si>
  <si>
    <t>World Regional Geography</t>
  </si>
  <si>
    <t>GEOG 2303</t>
  </si>
  <si>
    <t xml:space="preserve"> Latin American Civilizations</t>
  </si>
  <si>
    <t>HIST 2350</t>
  </si>
  <si>
    <t xml:space="preserve"> Understanding Film</t>
  </si>
  <si>
    <t>FILM 2332</t>
  </si>
  <si>
    <t>Introduction to Gender Studies</t>
  </si>
  <si>
    <t>GST 2300</t>
  </si>
  <si>
    <t xml:space="preserve"> European Civilizations</t>
  </si>
  <si>
    <t>HIST 2360</t>
  </si>
  <si>
    <t>Understanding Music</t>
  </si>
  <si>
    <t xml:space="preserve">MUSI 1306 </t>
  </si>
  <si>
    <t>Introduction to Public and Nonprofit Management</t>
  </si>
  <si>
    <t>PA 2325</t>
  </si>
  <si>
    <t xml:space="preserve"> The Holocaust</t>
  </si>
  <si>
    <t>HIST 2370</t>
  </si>
  <si>
    <t>Music Cultures of the World</t>
  </si>
  <si>
    <t xml:space="preserve">MUSI 2321 </t>
  </si>
  <si>
    <t>Introduction to Psychology</t>
  </si>
  <si>
    <t>PSY 2301</t>
  </si>
  <si>
    <t>Exploration of the Humanities</t>
  </si>
  <si>
    <t xml:space="preserve">HUMA 1301 </t>
  </si>
  <si>
    <t xml:space="preserve"> Music in Western Civilization</t>
  </si>
  <si>
    <t>MUSI 2322</t>
  </si>
  <si>
    <t xml:space="preserve">PSY 2314 </t>
  </si>
  <si>
    <t>Introduction to Literature</t>
  </si>
  <si>
    <t xml:space="preserve">LIT 1301 </t>
  </si>
  <si>
    <t>Introduction to Philosophy of Art</t>
  </si>
  <si>
    <t xml:space="preserve">PHIL 1307 </t>
  </si>
  <si>
    <t>Introduction to Sociology</t>
  </si>
  <si>
    <t xml:space="preserve">SOC 1301 </t>
  </si>
  <si>
    <t>Survey of African-American and African Diaspora Literatures</t>
  </si>
  <si>
    <t xml:space="preserve">LIT 2322 </t>
  </si>
  <si>
    <t>Understanding Theatre</t>
  </si>
  <si>
    <t xml:space="preserve">THEA 1310 </t>
  </si>
  <si>
    <t>Contemporary Social Issues</t>
  </si>
  <si>
    <t xml:space="preserve">SOC 1306 </t>
  </si>
  <si>
    <t>Introduction to Ethnic American Literature</t>
  </si>
  <si>
    <t xml:space="preserve">LIT 2329 </t>
  </si>
  <si>
    <t>SOC 2300</t>
  </si>
  <si>
    <t>Introduction to World Literature</t>
  </si>
  <si>
    <t xml:space="preserve">LIT 2331 </t>
  </si>
  <si>
    <t>Introduction to Philosophy</t>
  </si>
  <si>
    <t xml:space="preserve">PHIL 1301 </t>
  </si>
  <si>
    <t>Introduction to Philosophy of Religion</t>
  </si>
  <si>
    <t xml:space="preserve">PHIL 1305 </t>
  </si>
  <si>
    <t>Introduction to Ethics</t>
  </si>
  <si>
    <t xml:space="preserve">PHIL 1306 </t>
  </si>
  <si>
    <t xml:space="preserve"> History of Philosophy I</t>
  </si>
  <si>
    <t>PHIL 2316</t>
  </si>
  <si>
    <t xml:space="preserve"> History of Philosophy II</t>
  </si>
  <si>
    <t>PHIL 2317</t>
  </si>
  <si>
    <t xml:space="preserve">RELS 1325 </t>
  </si>
  <si>
    <t>POSSIBLE SUBSTITUTIONS</t>
  </si>
  <si>
    <t>SUBSTITUTIONS</t>
  </si>
  <si>
    <t>BIOL 2311</t>
  </si>
  <si>
    <t>BIOL 1406</t>
  </si>
  <si>
    <t>BIOL 1306/1106</t>
  </si>
  <si>
    <t>BIOL 2111</t>
  </si>
  <si>
    <t>BIOL 1106</t>
  </si>
  <si>
    <t>BMEN 1100</t>
  </si>
  <si>
    <t>ENGR 1201</t>
  </si>
  <si>
    <t>BMEN 1208</t>
  </si>
  <si>
    <t>EE 1202</t>
  </si>
  <si>
    <t>Change of Major to BMEN</t>
  </si>
  <si>
    <t>MECH 1208</t>
  </si>
  <si>
    <t>BMEN 1300</t>
  </si>
  <si>
    <t>Transfer Only</t>
  </si>
  <si>
    <t>CS 1324</t>
  </si>
  <si>
    <t>2019 Plan</t>
  </si>
  <si>
    <t>BMEN 2320</t>
  </si>
  <si>
    <t>ENGR 2301</t>
  </si>
  <si>
    <t>ENGR 2401</t>
  </si>
  <si>
    <t>3HR</t>
  </si>
  <si>
    <t>MECH 2310</t>
  </si>
  <si>
    <t>BMEN 3220</t>
  </si>
  <si>
    <t>BMEN 3120</t>
  </si>
  <si>
    <t>BMEN 3150</t>
  </si>
  <si>
    <t>BMEN 3302</t>
  </si>
  <si>
    <t>EE 3302</t>
  </si>
  <si>
    <t>BMEN 3402</t>
  </si>
  <si>
    <t>EE 3102</t>
  </si>
  <si>
    <t>2019 Plan (1HR)</t>
  </si>
  <si>
    <t>BMEN 3330</t>
  </si>
  <si>
    <t>BMEN 3331+3332 (2018) BMEN Plan</t>
  </si>
  <si>
    <t>BMEN 3341</t>
  </si>
  <si>
    <t>ENGR 3341</t>
  </si>
  <si>
    <t>BMEN 4310</t>
  </si>
  <si>
    <t>MECH 4310</t>
  </si>
  <si>
    <t>BMEN 4110</t>
  </si>
  <si>
    <t>BMEN 3200</t>
  </si>
  <si>
    <t>EE 4310</t>
  </si>
  <si>
    <t>CE 1100</t>
  </si>
  <si>
    <t>CE 1202</t>
  </si>
  <si>
    <t>Sub with TE is CE 2310 is Transferred</t>
  </si>
  <si>
    <t xml:space="preserve">CE 1337 </t>
  </si>
  <si>
    <t>COSC 1337</t>
  </si>
  <si>
    <t>COSC 1437</t>
  </si>
  <si>
    <t>3HR, JAVA</t>
  </si>
  <si>
    <t>CE 2336</t>
  </si>
  <si>
    <t>COSC 2336</t>
  </si>
  <si>
    <t>COSC 2436</t>
  </si>
  <si>
    <t>CE 2310</t>
  </si>
  <si>
    <t>ENGR 2306</t>
  </si>
  <si>
    <t>ENGR 2406</t>
  </si>
  <si>
    <t>EE 2310</t>
  </si>
  <si>
    <t>CE 2305</t>
  </si>
  <si>
    <t>MATH 2305</t>
  </si>
  <si>
    <t>CE 2301</t>
  </si>
  <si>
    <t>CE 3301</t>
  </si>
  <si>
    <t>CE 3303</t>
  </si>
  <si>
    <t>CE 3302</t>
  </si>
  <si>
    <t>CHEM 1311</t>
  </si>
  <si>
    <t>CHEM 1411</t>
  </si>
  <si>
    <t>CHEM 1311</t>
  </si>
  <si>
    <t>CHEM 1301</t>
  </si>
  <si>
    <t>CHEM 1312</t>
  </si>
  <si>
    <t>CHEM 1412</t>
  </si>
  <si>
    <t>CHEM 2323</t>
  </si>
  <si>
    <t>CHEM 2423</t>
  </si>
  <si>
    <t>CHEM 2325</t>
  </si>
  <si>
    <t>CHEM 2425</t>
  </si>
  <si>
    <t>CS 1325</t>
  </si>
  <si>
    <t>AP CSA</t>
  </si>
  <si>
    <t>COSC 1320</t>
  </si>
  <si>
    <t>COSC 1420</t>
  </si>
  <si>
    <t>Change of Major to EE</t>
  </si>
  <si>
    <t>CS 1336</t>
  </si>
  <si>
    <t>CS 1136</t>
  </si>
  <si>
    <t>1HR</t>
  </si>
  <si>
    <t>COSC 1436</t>
  </si>
  <si>
    <t>COSC 1336</t>
  </si>
  <si>
    <t>COCS 1136</t>
  </si>
  <si>
    <t xml:space="preserve">CS 1337 </t>
  </si>
  <si>
    <t>CS 2336</t>
  </si>
  <si>
    <t>COSC 2325</t>
  </si>
  <si>
    <t>COSC 2425</t>
  </si>
  <si>
    <t>SE 2340</t>
  </si>
  <si>
    <t>SE 3341</t>
  </si>
  <si>
    <t>CE 3320</t>
  </si>
  <si>
    <t>Major Change to CS - Need Permission</t>
  </si>
  <si>
    <t>EE 3320</t>
  </si>
  <si>
    <t>ENGR 1101</t>
  </si>
  <si>
    <t>EE 1100</t>
  </si>
  <si>
    <t>ENGR 2405</t>
  </si>
  <si>
    <t>ENGR 2305</t>
  </si>
  <si>
    <t>Sub with TE if EE 2310 is Transferred</t>
  </si>
  <si>
    <t>2HR</t>
  </si>
  <si>
    <t>Major Change to EE</t>
  </si>
  <si>
    <t>EE 3201</t>
  </si>
  <si>
    <t>EE 3101</t>
  </si>
  <si>
    <t>1HR - With EE Permission</t>
  </si>
  <si>
    <t>EE 3120</t>
  </si>
  <si>
    <t>1HRR - With EE Permission</t>
  </si>
  <si>
    <t>EE 3301</t>
  </si>
  <si>
    <t>EE 2301</t>
  </si>
  <si>
    <t>EE 3303</t>
  </si>
  <si>
    <t>ENGR 2300</t>
  </si>
  <si>
    <t>MECH 1100</t>
  </si>
  <si>
    <t>MECH 1208</t>
  </si>
  <si>
    <t>Major Change to MECH</t>
  </si>
  <si>
    <t>Sub with TE if two of: MECH 2320,2330.3310,3320</t>
  </si>
  <si>
    <t>MECH 2310</t>
  </si>
  <si>
    <t>MECH 2320</t>
  </si>
  <si>
    <t>ENGR 2332</t>
  </si>
  <si>
    <t>MECH 2330</t>
  </si>
  <si>
    <t>ENGR 2302</t>
  </si>
  <si>
    <t>ENGR 2402</t>
  </si>
  <si>
    <t>MECH 33XX/43XX</t>
  </si>
  <si>
    <t>MECH 2340=ENGR 2305/2405</t>
  </si>
  <si>
    <t>PHYS 2325</t>
  </si>
  <si>
    <t>PHYS 2425</t>
  </si>
  <si>
    <t>PHYS 2125</t>
  </si>
  <si>
    <t>PHYS 2326</t>
  </si>
  <si>
    <t>PHYS 2426</t>
  </si>
  <si>
    <t>PHYS 2126</t>
  </si>
  <si>
    <t>ENGL 1302</t>
  </si>
  <si>
    <t>ECS 3390</t>
  </si>
  <si>
    <t>AMS 2300</t>
  </si>
  <si>
    <t>AHST 1303</t>
  </si>
  <si>
    <t>CS 2337</t>
  </si>
  <si>
    <t>AMS 2341</t>
  </si>
  <si>
    <t>AHST 2331</t>
  </si>
  <si>
    <t>CLDP 2314</t>
  </si>
  <si>
    <t>ARTS 1301</t>
  </si>
  <si>
    <t>HIST 2330</t>
  </si>
  <si>
    <t>LIT 1301</t>
  </si>
  <si>
    <t>DANC 1305</t>
  </si>
  <si>
    <t>CRIM 1307</t>
  </si>
  <si>
    <t>LIT 2331</t>
  </si>
  <si>
    <t>DANC 1310</t>
  </si>
  <si>
    <t>HIST 2384</t>
  </si>
  <si>
    <t>PHIL 1301</t>
  </si>
  <si>
    <t>ECON 2302</t>
  </si>
  <si>
    <t>MATH 2414</t>
  </si>
  <si>
    <t>MUSI 1306</t>
  </si>
  <si>
    <t>MATH 2419</t>
  </si>
  <si>
    <t>MUSI 2321</t>
  </si>
  <si>
    <t>THEA 1310</t>
  </si>
  <si>
    <t>PSY 2314</t>
  </si>
  <si>
    <t>SOC 1301</t>
  </si>
  <si>
    <t>ECS 2361</t>
  </si>
  <si>
    <t>ECS 3361</t>
  </si>
  <si>
    <t>Discrete Math for Computing II</t>
  </si>
  <si>
    <t>CS 3305 [D]</t>
  </si>
  <si>
    <t>For students on older degree plans</t>
  </si>
  <si>
    <t>No longer offered</t>
  </si>
  <si>
    <t>Grade of D- or better required</t>
  </si>
  <si>
    <t>if no req. grade in brackets [ ]</t>
  </si>
  <si>
    <t xml:space="preserve">B.S. in COMPUTER SCIENCE DEGREE PLAN (2025-2026) </t>
  </si>
  <si>
    <t>of 42</t>
  </si>
  <si>
    <t>of 39</t>
  </si>
  <si>
    <t>of 12</t>
  </si>
  <si>
    <t>of 24</t>
  </si>
  <si>
    <t>of 10</t>
  </si>
  <si>
    <r>
      <t xml:space="preserve">Differential Calculus </t>
    </r>
    <r>
      <rPr>
        <b/>
        <u/>
        <sz val="10"/>
        <color theme="1"/>
        <rFont val="Calibri"/>
        <family val="2"/>
        <scheme val="minor"/>
      </rPr>
      <t>OR</t>
    </r>
    <r>
      <rPr>
        <sz val="10"/>
        <color theme="1"/>
        <rFont val="Calibri"/>
        <family val="2"/>
        <scheme val="minor"/>
      </rPr>
      <t xml:space="preserve"> Calculus I</t>
    </r>
  </si>
  <si>
    <r>
      <t xml:space="preserve">Integral Calculus </t>
    </r>
    <r>
      <rPr>
        <b/>
        <u/>
        <sz val="10"/>
        <color theme="1"/>
        <rFont val="Calibri"/>
        <family val="2"/>
        <scheme val="minor"/>
      </rPr>
      <t>OR</t>
    </r>
    <r>
      <rPr>
        <sz val="10"/>
        <color theme="1"/>
        <rFont val="Calibri"/>
        <family val="2"/>
        <scheme val="minor"/>
      </rPr>
      <t xml:space="preserve"> Calculus II</t>
    </r>
  </si>
  <si>
    <r>
      <rPr>
        <b/>
        <sz val="12"/>
        <color theme="1"/>
        <rFont val="Calibri"/>
        <family val="2"/>
        <scheme val="minor"/>
      </rPr>
      <t xml:space="preserve">CS 3162 </t>
    </r>
    <r>
      <rPr>
        <b/>
        <sz val="10"/>
        <color theme="1"/>
        <rFont val="Calibri"/>
        <family val="2"/>
        <scheme val="minor"/>
      </rPr>
      <t xml:space="preserve">
</t>
    </r>
    <r>
      <rPr>
        <sz val="10"/>
        <color theme="1"/>
        <rFont val="Calibri"/>
        <family val="2"/>
        <scheme val="minor"/>
      </rPr>
      <t xml:space="preserve">Professional Responsibility in Computer Science and Software Engineering </t>
    </r>
  </si>
  <si>
    <t>CS 2390</t>
  </si>
  <si>
    <t>Math for Computing</t>
  </si>
  <si>
    <t>CS 4302</t>
  </si>
  <si>
    <t xml:space="preserve">B.S. in COMPUTER SCIENCE EIGHT SEMESTER PLAN (2025-2026) </t>
  </si>
  <si>
    <t>SE 3162</t>
  </si>
  <si>
    <t>SE 3345</t>
  </si>
  <si>
    <t>SE 3354</t>
  </si>
  <si>
    <t>SE 4347</t>
  </si>
  <si>
    <t>SE 4348</t>
  </si>
  <si>
    <t>MINOR REQUIREMENTS</t>
  </si>
  <si>
    <t>Student</t>
  </si>
  <si>
    <t>UTD ID</t>
  </si>
  <si>
    <t>Minor</t>
  </si>
  <si>
    <t>Requirements per the Catalog:</t>
  </si>
  <si>
    <t xml:space="preserve">Course </t>
  </si>
  <si>
    <t>Course Name</t>
  </si>
  <si>
    <t>Grade</t>
  </si>
  <si>
    <t>Semester</t>
  </si>
  <si>
    <t>INTRO TO COMP SCI &amp; SOFTWARE</t>
  </si>
  <si>
    <t>2025 Fall</t>
  </si>
  <si>
    <t>A</t>
  </si>
  <si>
    <t>PROGRAMMING FUNDAMENTALS</t>
  </si>
  <si>
    <t>D</t>
  </si>
  <si>
    <t>2026 Spring</t>
  </si>
  <si>
    <t>PRINCIPLES OF MICROECONOMICS</t>
  </si>
  <si>
    <t>INTRO TO ENGINEERING AND COMP</t>
  </si>
  <si>
    <t>PROFESSIONAL AND TECHNICAL COM</t>
  </si>
  <si>
    <t>AMERICAN NATIONAL GOVERNMENT</t>
  </si>
  <si>
    <t>MATH 1314</t>
  </si>
  <si>
    <t>COLLEGE ALGEBRA</t>
  </si>
  <si>
    <t>A-</t>
  </si>
  <si>
    <t>MATH 1316</t>
  </si>
  <si>
    <t>TRIGONOMETRY</t>
  </si>
  <si>
    <t>B-</t>
  </si>
  <si>
    <t>MATH 2312</t>
  </si>
  <si>
    <t>PRECALCULUS</t>
  </si>
  <si>
    <t>RHETORIC</t>
  </si>
  <si>
    <t>2025 Fall / 2026 Spring</t>
  </si>
  <si>
    <t xml:space="preserve">D / </t>
  </si>
  <si>
    <t xml:space="preserve">, 2 or more attempts at UTD | </t>
  </si>
  <si>
    <t>3 hours available</t>
  </si>
  <si>
    <t xml:space="preserve">take at summer off campus </t>
  </si>
  <si>
    <t xml:space="preserve">take off campus </t>
  </si>
  <si>
    <t>Govt 2306</t>
  </si>
  <si>
    <t>take in fall 2026</t>
  </si>
  <si>
    <t>take  in fall 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</si>
</sst>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0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0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color rgb="FFFF0000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i/>
      <sz val="8"/>
      <color theme="1"/>
      <name val="Calibri"/>
      <family val="2"/>
      <scheme val="minor"/>
    </font>
    <font>
      <u/>
      <sz val="10"/>
      <color theme="1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Bell MT"/>
      <family val="1"/>
    </font>
    <font>
      <sz val="10"/>
      <color theme="1"/>
      <name val="Bell MT"/>
      <family val="1"/>
    </font>
    <font>
      <sz val="9"/>
      <color rgb="FF000000"/>
      <name val="Arial"/>
      <family val="2"/>
    </font>
    <font>
      <b/>
      <sz val="14"/>
      <color theme="1"/>
      <name val="Amasis MT Pro Black"/>
      <family val="1"/>
    </font>
    <font>
      <sz val="14"/>
      <color theme="1"/>
      <name val="Amasis MT Pro Black"/>
      <family val="1"/>
    </font>
    <font>
      <sz val="8"/>
      <name val="Arial"/>
      <family val="2"/>
    </font>
    <font>
      <sz val="8"/>
      <color theme="1"/>
      <name val="Arial"/>
      <family val="2"/>
    </font>
    <font>
      <sz val="8.5"/>
      <color theme="1"/>
      <name val="Arial"/>
      <family val="2"/>
    </font>
    <font>
      <b/>
      <sz val="11"/>
      <color rgb="FF626262"/>
      <name val="Calibri"/>
      <family val="2"/>
      <scheme val="minor"/>
    </font>
    <font>
      <sz val="8"/>
      <color theme="1"/>
      <name val="Amasis MT Pro Black"/>
      <family val="1"/>
    </font>
    <font>
      <sz val="11"/>
      <color theme="1"/>
      <name val="Amasis MT Pro Black"/>
      <family val="1"/>
    </font>
    <font>
      <b/>
      <sz val="20"/>
      <color theme="1"/>
      <name val="Amasis MT Pro Black"/>
      <family val="1"/>
    </font>
    <font>
      <sz val="20"/>
      <color theme="1"/>
      <name val="Amasis MT Pro Black"/>
      <family val="1"/>
    </font>
    <font>
      <sz val="12"/>
      <color theme="1"/>
      <name val="Bell MT"/>
      <family val="1"/>
    </font>
    <font>
      <sz val="12"/>
      <color theme="1"/>
      <name val="Arial"/>
      <family val="2"/>
    </font>
    <font>
      <sz val="8"/>
      <color rgb="FF000000"/>
      <name val="Segoe UI"/>
      <family val="2"/>
    </font>
    <font>
      <sz val="9"/>
      <color rgb="FF515151"/>
      <name val="Arial"/>
      <family val="2"/>
    </font>
    <font>
      <b/>
      <sz val="9"/>
      <color rgb="FF626262"/>
      <name val="Arial"/>
      <family val="2"/>
    </font>
    <font>
      <b/>
      <u/>
      <sz val="10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/>
        <bgColor indexed="64"/>
      </patternFill>
    </fill>
  </fills>
  <borders count="5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medium">
        <color theme="4" tint="-0.249977111117893"/>
      </left>
      <right style="medium">
        <color theme="4" tint="-0.249977111117893"/>
      </right>
      <top style="medium">
        <color theme="4" tint="-0.249977111117893"/>
      </top>
      <bottom style="medium">
        <color theme="4" tint="-0.249977111117893"/>
      </bottom>
      <diagonal/>
    </border>
    <border>
      <left style="mediumDashed">
        <color theme="4" tint="-0.24994659260841701"/>
      </left>
      <right style="mediumDashed">
        <color theme="4" tint="-0.24994659260841701"/>
      </right>
      <top style="mediumDashed">
        <color theme="4" tint="-0.24994659260841701"/>
      </top>
      <bottom style="mediumDashed">
        <color theme="4" tint="-0.24994659260841701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1"/>
      </bottom>
      <diagonal/>
    </border>
    <border>
      <left/>
      <right style="thin">
        <color indexed="64"/>
      </right>
      <top style="thin">
        <color indexed="64"/>
      </top>
      <bottom style="thin">
        <color theme="1"/>
      </bottom>
      <diagonal/>
    </border>
    <border>
      <left style="medium">
        <color theme="4" tint="-0.249977111117893"/>
      </left>
      <right style="medium">
        <color theme="4" tint="-0.249977111117893"/>
      </right>
      <top/>
      <bottom style="medium">
        <color theme="4" tint="-0.249977111117893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theme="1"/>
      </bottom>
      <diagonal/>
    </border>
    <border>
      <left/>
      <right/>
      <top/>
      <bottom style="thick">
        <color indexed="64"/>
      </bottom>
      <diagonal/>
    </border>
    <border>
      <left style="medium">
        <color theme="4" tint="-0.249977111117893"/>
      </left>
      <right style="medium">
        <color theme="4" tint="-0.249977111117893"/>
      </right>
      <top style="medium">
        <color theme="4" tint="-0.249977111117893"/>
      </top>
      <bottom/>
      <diagonal/>
    </border>
    <border>
      <left style="mediumDashed">
        <color theme="4" tint="-0.249977111117893"/>
      </left>
      <right style="mediumDashed">
        <color theme="4" tint="-0.249977111117893"/>
      </right>
      <top style="mediumDashed">
        <color theme="4" tint="-0.249977111117893"/>
      </top>
      <bottom style="mediumDashed">
        <color theme="4" tint="-0.249977111117893"/>
      </bottom>
      <diagonal/>
    </border>
    <border>
      <left style="medium">
        <color theme="4" tint="-0.24994659260841701"/>
      </left>
      <right style="medium">
        <color theme="4" tint="-0.24994659260841701"/>
      </right>
      <top style="medium">
        <color theme="4" tint="-0.24994659260841701"/>
      </top>
      <bottom style="medium">
        <color theme="4" tint="-0.24994659260841701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mediumDashed">
        <color theme="4" tint="-0.24994659260841701"/>
      </left>
      <right style="mediumDashed">
        <color theme="4" tint="-0.24994659260841701"/>
      </right>
      <top/>
      <bottom style="mediumDashed">
        <color theme="4" tint="-0.249977111117893"/>
      </bottom>
      <diagonal/>
    </border>
    <border>
      <left/>
      <right style="mediumDashed">
        <color theme="8"/>
      </right>
      <top/>
      <bottom/>
      <diagonal/>
    </border>
    <border>
      <left style="mediumDashed">
        <color theme="8"/>
      </left>
      <right/>
      <top style="medium">
        <color theme="8"/>
      </top>
      <bottom style="mediumDashed">
        <color theme="8"/>
      </bottom>
      <diagonal/>
    </border>
    <border>
      <left/>
      <right/>
      <top style="medium">
        <color theme="4" tint="-0.249977111117893"/>
      </top>
      <bottom/>
      <diagonal/>
    </border>
    <border>
      <left style="mediumDashed">
        <color theme="8"/>
      </left>
      <right/>
      <top/>
      <bottom/>
      <diagonal/>
    </border>
    <border>
      <left style="mediumDashed">
        <color theme="8"/>
      </left>
      <right/>
      <top style="medium">
        <color theme="4" tint="-0.249977111117893"/>
      </top>
      <bottom style="mediumDashed">
        <color theme="8"/>
      </bottom>
      <diagonal/>
    </border>
    <border>
      <left style="mediumDashed">
        <color theme="8"/>
      </left>
      <right style="medium">
        <color theme="4" tint="-0.249977111117893"/>
      </right>
      <top/>
      <bottom/>
      <diagonal/>
    </border>
    <border>
      <left/>
      <right style="medium">
        <color rgb="FFE6E6E6"/>
      </right>
      <top/>
      <bottom style="medium">
        <color rgb="FFE6E6E6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theme="4" tint="-0.249977111117893"/>
      </left>
      <right/>
      <top/>
      <bottom/>
      <diagonal/>
    </border>
    <border>
      <left style="medium">
        <color rgb="FF0070C0"/>
      </left>
      <right style="medium">
        <color rgb="FF0070C0"/>
      </right>
      <top style="medium">
        <color theme="4" tint="-0.249977111117893"/>
      </top>
      <bottom style="medium">
        <color rgb="FF0070C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43">
    <xf numFmtId="0" fontId="0" fillId="0" borderId="0" xfId="0"/>
    <xf numFmtId="49" fontId="0" fillId="0" borderId="0" xfId="0" applyNumberFormat="1"/>
    <xf numFmtId="0" fontId="2" fillId="0" borderId="1" xfId="1" applyFont="1" applyBorder="1" applyAlignment="1">
      <alignment horizontal="center" vertical="center" wrapText="1"/>
    </xf>
    <xf numFmtId="0" fontId="2" fillId="0" borderId="6" xfId="1" applyFont="1" applyBorder="1" applyAlignment="1">
      <alignment horizontal="center" vertical="center" wrapText="1"/>
    </xf>
    <xf numFmtId="0" fontId="0" fillId="0" borderId="3" xfId="0" applyBorder="1"/>
    <xf numFmtId="0" fontId="5" fillId="0" borderId="1" xfId="0" applyFont="1" applyBorder="1" applyAlignment="1">
      <alignment horizontal="center" vertical="center" wrapText="1"/>
    </xf>
    <xf numFmtId="0" fontId="4" fillId="0" borderId="0" xfId="0" applyFont="1"/>
    <xf numFmtId="49" fontId="4" fillId="0" borderId="1" xfId="0" applyNumberFormat="1" applyFont="1" applyBorder="1" applyAlignment="1">
      <alignment vertical="center" wrapText="1"/>
    </xf>
    <xf numFmtId="0" fontId="10" fillId="0" borderId="0" xfId="0" applyFont="1" applyAlignment="1">
      <alignment horizontal="center" vertical="center"/>
    </xf>
    <xf numFmtId="1" fontId="5" fillId="0" borderId="1" xfId="0" applyNumberFormat="1" applyFont="1" applyBorder="1" applyAlignment="1">
      <alignment horizontal="center" vertical="center" wrapText="1"/>
    </xf>
    <xf numFmtId="0" fontId="3" fillId="0" borderId="9" xfId="0" applyFont="1" applyBorder="1" applyAlignment="1">
      <alignment vertical="center"/>
    </xf>
    <xf numFmtId="0" fontId="5" fillId="0" borderId="1" xfId="0" applyFont="1" applyBorder="1" applyAlignment="1">
      <alignment horizontal="left" vertical="center"/>
    </xf>
    <xf numFmtId="0" fontId="12" fillId="0" borderId="5" xfId="0" applyFont="1" applyBorder="1" applyAlignment="1">
      <alignment horizontal="center" vertical="center" wrapText="1"/>
    </xf>
    <xf numFmtId="0" fontId="5" fillId="0" borderId="1" xfId="0" applyFont="1" applyBorder="1" applyAlignment="1">
      <alignment vertical="center"/>
    </xf>
    <xf numFmtId="0" fontId="11" fillId="0" borderId="1" xfId="0" applyFont="1" applyBorder="1" applyAlignment="1">
      <alignment vertical="center"/>
    </xf>
    <xf numFmtId="0" fontId="13" fillId="0" borderId="0" xfId="0" applyFont="1" applyAlignment="1">
      <alignment vertical="center" wrapText="1"/>
    </xf>
    <xf numFmtId="0" fontId="4" fillId="0" borderId="1" xfId="0" applyFont="1" applyBorder="1" applyAlignment="1">
      <alignment vertical="center" wrapText="1"/>
    </xf>
    <xf numFmtId="0" fontId="9" fillId="0" borderId="1" xfId="0" applyFont="1" applyBorder="1" applyAlignment="1">
      <alignment vertical="center" wrapText="1"/>
    </xf>
    <xf numFmtId="0" fontId="6" fillId="0" borderId="1" xfId="0" applyFont="1" applyBorder="1" applyAlignment="1">
      <alignment horizontal="left" vertical="center" wrapText="1"/>
    </xf>
    <xf numFmtId="49" fontId="6" fillId="0" borderId="1" xfId="0" applyNumberFormat="1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5" fillId="0" borderId="0" xfId="0" applyFont="1"/>
    <xf numFmtId="49" fontId="4" fillId="0" borderId="0" xfId="0" applyNumberFormat="1" applyFont="1"/>
    <xf numFmtId="0" fontId="15" fillId="3" borderId="0" xfId="0" applyFont="1" applyFill="1" applyAlignment="1">
      <alignment horizontal="left" vertical="center" wrapText="1"/>
    </xf>
    <xf numFmtId="0" fontId="10" fillId="0" borderId="0" xfId="0" applyFont="1" applyAlignment="1">
      <alignment horizontal="right" vertical="center"/>
    </xf>
    <xf numFmtId="0" fontId="12" fillId="0" borderId="0" xfId="0" applyFont="1" applyAlignment="1">
      <alignment vertical="center"/>
    </xf>
    <xf numFmtId="0" fontId="12" fillId="0" borderId="10" xfId="0" applyFont="1" applyBorder="1" applyAlignment="1">
      <alignment horizontal="center" vertical="center" wrapText="1"/>
    </xf>
    <xf numFmtId="0" fontId="17" fillId="4" borderId="0" xfId="0" applyFont="1" applyFill="1"/>
    <xf numFmtId="0" fontId="5" fillId="4" borderId="0" xfId="0" applyFont="1" applyFill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2" borderId="11" xfId="0" applyFont="1" applyFill="1" applyBorder="1" applyAlignment="1">
      <alignment horizontal="center" vertical="center" wrapText="1"/>
    </xf>
    <xf numFmtId="49" fontId="4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6" borderId="11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18" fillId="0" borderId="0" xfId="0" applyFont="1"/>
    <xf numFmtId="0" fontId="21" fillId="4" borderId="0" xfId="0" applyFont="1" applyFill="1" applyAlignment="1">
      <alignment vertical="top"/>
    </xf>
    <xf numFmtId="0" fontId="21" fillId="0" borderId="0" xfId="0" applyFont="1" applyAlignment="1">
      <alignment horizontal="center" vertical="top"/>
    </xf>
    <xf numFmtId="0" fontId="21" fillId="0" borderId="0" xfId="0" applyFont="1" applyAlignment="1">
      <alignment horizontal="center" vertical="top" wrapText="1"/>
    </xf>
    <xf numFmtId="0" fontId="6" fillId="0" borderId="0" xfId="0" applyFont="1" applyAlignment="1">
      <alignment horizontal="right" vertical="center"/>
    </xf>
    <xf numFmtId="0" fontId="19" fillId="4" borderId="0" xfId="0" applyFont="1" applyFill="1"/>
    <xf numFmtId="0" fontId="4" fillId="4" borderId="11" xfId="0" applyFont="1" applyFill="1" applyBorder="1" applyAlignment="1">
      <alignment horizontal="center" vertical="center" wrapText="1"/>
    </xf>
    <xf numFmtId="0" fontId="4" fillId="0" borderId="12" xfId="0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/>
    </xf>
    <xf numFmtId="49" fontId="4" fillId="0" borderId="0" xfId="0" applyNumberFormat="1" applyFont="1" applyAlignment="1">
      <alignment vertical="center" wrapText="1"/>
    </xf>
    <xf numFmtId="0" fontId="9" fillId="0" borderId="0" xfId="0" applyFont="1" applyAlignment="1">
      <alignment vertical="center" wrapText="1"/>
    </xf>
    <xf numFmtId="0" fontId="3" fillId="0" borderId="0" xfId="0" applyFont="1" applyAlignment="1">
      <alignment vertical="center"/>
    </xf>
    <xf numFmtId="0" fontId="3" fillId="0" borderId="16" xfId="0" applyFont="1" applyBorder="1" applyAlignment="1">
      <alignment vertical="center"/>
    </xf>
    <xf numFmtId="1" fontId="5" fillId="0" borderId="14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49" fontId="4" fillId="0" borderId="16" xfId="0" applyNumberFormat="1" applyFont="1" applyBorder="1" applyAlignment="1">
      <alignment vertical="center" wrapText="1"/>
    </xf>
    <xf numFmtId="1" fontId="5" fillId="0" borderId="18" xfId="0" applyNumberFormat="1" applyFont="1" applyBorder="1" applyAlignment="1">
      <alignment horizontal="center" vertical="center" wrapText="1"/>
    </xf>
    <xf numFmtId="0" fontId="4" fillId="0" borderId="0" xfId="0" applyFont="1" applyAlignment="1">
      <alignment vertical="center"/>
    </xf>
    <xf numFmtId="0" fontId="6" fillId="0" borderId="7" xfId="0" applyFont="1" applyBorder="1" applyAlignment="1">
      <alignment horizontal="center" vertical="center" wrapText="1"/>
    </xf>
    <xf numFmtId="0" fontId="5" fillId="0" borderId="18" xfId="0" applyFont="1" applyBorder="1" applyAlignment="1">
      <alignment horizontal="center" vertical="center" wrapText="1"/>
    </xf>
    <xf numFmtId="0" fontId="5" fillId="0" borderId="9" xfId="0" applyFont="1" applyBorder="1" applyAlignment="1">
      <alignment vertical="center"/>
    </xf>
    <xf numFmtId="0" fontId="6" fillId="0" borderId="0" xfId="0" applyFont="1" applyAlignment="1">
      <alignment vertical="center"/>
    </xf>
    <xf numFmtId="0" fontId="0" fillId="0" borderId="1" xfId="0" applyBorder="1"/>
    <xf numFmtId="0" fontId="16" fillId="0" borderId="22" xfId="0" applyFont="1" applyBorder="1" applyAlignment="1">
      <alignment horizontal="center" vertical="center" wrapText="1"/>
    </xf>
    <xf numFmtId="0" fontId="16" fillId="0" borderId="23" xfId="0" applyFont="1" applyBorder="1" applyAlignment="1">
      <alignment horizontal="center" vertical="center" wrapText="1"/>
    </xf>
    <xf numFmtId="0" fontId="4" fillId="0" borderId="24" xfId="0" applyFont="1" applyBorder="1"/>
    <xf numFmtId="0" fontId="4" fillId="0" borderId="25" xfId="0" applyFont="1" applyBorder="1"/>
    <xf numFmtId="0" fontId="4" fillId="0" borderId="20" xfId="0" applyFont="1" applyBorder="1"/>
    <xf numFmtId="0" fontId="4" fillId="0" borderId="21" xfId="0" applyFont="1" applyBorder="1"/>
    <xf numFmtId="0" fontId="4" fillId="0" borderId="26" xfId="0" applyFont="1" applyBorder="1"/>
    <xf numFmtId="0" fontId="4" fillId="0" borderId="27" xfId="0" applyFont="1" applyBorder="1"/>
    <xf numFmtId="49" fontId="4" fillId="0" borderId="20" xfId="0" applyNumberFormat="1" applyFont="1" applyBorder="1" applyAlignment="1">
      <alignment vertical="center" wrapText="1"/>
    </xf>
    <xf numFmtId="0" fontId="0" fillId="0" borderId="21" xfId="0" applyBorder="1"/>
    <xf numFmtId="49" fontId="4" fillId="0" borderId="24" xfId="0" applyNumberFormat="1" applyFont="1" applyBorder="1" applyAlignment="1">
      <alignment vertical="center" wrapText="1"/>
    </xf>
    <xf numFmtId="0" fontId="9" fillId="0" borderId="6" xfId="0" applyFont="1" applyBorder="1" applyAlignment="1">
      <alignment vertical="center" wrapText="1"/>
    </xf>
    <xf numFmtId="0" fontId="0" fillId="0" borderId="6" xfId="0" applyBorder="1"/>
    <xf numFmtId="0" fontId="0" fillId="0" borderId="25" xfId="0" applyBorder="1"/>
    <xf numFmtId="0" fontId="6" fillId="0" borderId="22" xfId="0" applyFont="1" applyBorder="1" applyAlignment="1">
      <alignment horizontal="left" vertical="center" wrapText="1"/>
    </xf>
    <xf numFmtId="0" fontId="6" fillId="0" borderId="28" xfId="0" applyFont="1" applyBorder="1" applyAlignment="1">
      <alignment horizontal="left" vertical="center" wrapText="1"/>
    </xf>
    <xf numFmtId="0" fontId="5" fillId="0" borderId="29" xfId="0" applyFont="1" applyBorder="1" applyAlignment="1">
      <alignment horizontal="center" vertical="center" wrapText="1"/>
    </xf>
    <xf numFmtId="0" fontId="3" fillId="0" borderId="30" xfId="0" applyFont="1" applyBorder="1" applyAlignment="1">
      <alignment vertical="center"/>
    </xf>
    <xf numFmtId="0" fontId="6" fillId="0" borderId="1" xfId="0" applyFont="1" applyBorder="1" applyAlignment="1">
      <alignment vertical="center" wrapText="1"/>
    </xf>
    <xf numFmtId="0" fontId="0" fillId="0" borderId="0" xfId="0" applyAlignment="1">
      <alignment vertical="center" wrapText="1"/>
    </xf>
    <xf numFmtId="0" fontId="8" fillId="0" borderId="0" xfId="0" applyFont="1" applyAlignment="1">
      <alignment vertical="center" wrapText="1"/>
    </xf>
    <xf numFmtId="0" fontId="4" fillId="0" borderId="31" xfId="0" applyFont="1" applyBorder="1" applyAlignment="1">
      <alignment vertical="center" wrapText="1"/>
    </xf>
    <xf numFmtId="0" fontId="9" fillId="0" borderId="31" xfId="0" applyFont="1" applyBorder="1" applyAlignment="1">
      <alignment vertical="center" wrapText="1"/>
    </xf>
    <xf numFmtId="0" fontId="15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right"/>
    </xf>
    <xf numFmtId="0" fontId="6" fillId="0" borderId="31" xfId="0" applyFont="1" applyBorder="1" applyAlignment="1">
      <alignment horizontal="left" vertical="center" wrapText="1"/>
    </xf>
    <xf numFmtId="0" fontId="9" fillId="0" borderId="32" xfId="0" applyFont="1" applyBorder="1" applyAlignment="1">
      <alignment vertical="center" wrapText="1"/>
    </xf>
    <xf numFmtId="0" fontId="0" fillId="2" borderId="0" xfId="0" applyFill="1"/>
    <xf numFmtId="0" fontId="3" fillId="0" borderId="1" xfId="0" applyFont="1" applyBorder="1" applyAlignment="1">
      <alignment vertical="center"/>
    </xf>
    <xf numFmtId="0" fontId="3" fillId="0" borderId="15" xfId="0" applyFont="1" applyBorder="1" applyAlignment="1">
      <alignment vertical="center"/>
    </xf>
    <xf numFmtId="49" fontId="4" fillId="0" borderId="33" xfId="0" applyNumberFormat="1" applyFont="1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33" xfId="0" applyBorder="1" applyAlignment="1">
      <alignment horizontal="center" vertical="center" wrapText="1"/>
    </xf>
    <xf numFmtId="0" fontId="5" fillId="0" borderId="33" xfId="0" applyFont="1" applyBorder="1" applyAlignment="1">
      <alignment horizontal="center" vertical="center" wrapText="1"/>
    </xf>
    <xf numFmtId="0" fontId="5" fillId="4" borderId="33" xfId="0" applyFont="1" applyFill="1" applyBorder="1" applyAlignment="1">
      <alignment horizontal="center" vertical="center" wrapText="1"/>
    </xf>
    <xf numFmtId="0" fontId="24" fillId="5" borderId="0" xfId="0" applyFont="1" applyFill="1" applyAlignment="1">
      <alignment horizontal="centerContinuous" vertical="center"/>
    </xf>
    <xf numFmtId="0" fontId="6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25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26" fillId="0" borderId="0" xfId="0" applyFont="1" applyAlignment="1">
      <alignment horizontal="center" vertical="center" wrapText="1"/>
    </xf>
    <xf numFmtId="0" fontId="26" fillId="0" borderId="1" xfId="0" applyFont="1" applyBorder="1" applyAlignment="1">
      <alignment horizontal="center" vertical="center" wrapText="1"/>
    </xf>
    <xf numFmtId="0" fontId="14" fillId="0" borderId="0" xfId="1" applyFont="1" applyFill="1" applyBorder="1" applyAlignment="1">
      <alignment horizontal="center" vertical="center" wrapText="1"/>
    </xf>
    <xf numFmtId="0" fontId="27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0" fontId="22" fillId="0" borderId="0" xfId="0" applyFont="1"/>
    <xf numFmtId="0" fontId="1" fillId="0" borderId="0" xfId="1"/>
    <xf numFmtId="0" fontId="28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29" fillId="5" borderId="0" xfId="0" applyFont="1" applyFill="1" applyAlignment="1">
      <alignment horizontal="centerContinuous" vertical="center"/>
    </xf>
    <xf numFmtId="0" fontId="30" fillId="0" borderId="0" xfId="0" applyFont="1"/>
    <xf numFmtId="0" fontId="23" fillId="5" borderId="0" xfId="0" applyFont="1" applyFill="1" applyAlignment="1">
      <alignment horizontal="center" vertical="center" textRotation="90" wrapText="1"/>
    </xf>
    <xf numFmtId="0" fontId="0" fillId="5" borderId="0" xfId="0" applyFill="1" applyAlignment="1">
      <alignment horizontal="center"/>
    </xf>
    <xf numFmtId="0" fontId="20" fillId="5" borderId="0" xfId="0" applyFont="1" applyFill="1" applyAlignment="1">
      <alignment horizontal="center" vertical="top" textRotation="255"/>
    </xf>
    <xf numFmtId="0" fontId="4" fillId="0" borderId="14" xfId="0" applyFont="1" applyBorder="1" applyAlignment="1">
      <alignment vertical="center" wrapText="1"/>
    </xf>
    <xf numFmtId="0" fontId="5" fillId="0" borderId="14" xfId="0" applyFont="1" applyBorder="1" applyAlignment="1">
      <alignment horizontal="center" vertical="center" wrapText="1"/>
    </xf>
    <xf numFmtId="0" fontId="5" fillId="0" borderId="39" xfId="0" applyFont="1" applyBorder="1" applyAlignment="1">
      <alignment horizontal="center" vertical="center" wrapText="1"/>
    </xf>
    <xf numFmtId="0" fontId="5" fillId="0" borderId="38" xfId="0" applyFont="1" applyBorder="1" applyAlignment="1">
      <alignment vertical="center"/>
    </xf>
    <xf numFmtId="0" fontId="5" fillId="0" borderId="14" xfId="0" applyFont="1" applyBorder="1" applyAlignment="1">
      <alignment vertical="center"/>
    </xf>
    <xf numFmtId="0" fontId="7" fillId="5" borderId="0" xfId="0" applyFont="1" applyFill="1" applyAlignment="1">
      <alignment horizontal="centerContinuous" vertical="center"/>
    </xf>
    <xf numFmtId="0" fontId="7" fillId="5" borderId="4" xfId="0" applyFont="1" applyFill="1" applyBorder="1" applyAlignment="1">
      <alignment horizontal="centerContinuous" vertical="center"/>
    </xf>
    <xf numFmtId="0" fontId="8" fillId="5" borderId="2" xfId="0" applyFont="1" applyFill="1" applyBorder="1" applyAlignment="1">
      <alignment horizontal="centerContinuous" vertical="center"/>
    </xf>
    <xf numFmtId="0" fontId="8" fillId="5" borderId="0" xfId="0" applyFont="1" applyFill="1" applyAlignment="1">
      <alignment horizontal="centerContinuous" vertical="center"/>
    </xf>
    <xf numFmtId="0" fontId="7" fillId="5" borderId="19" xfId="0" applyFont="1" applyFill="1" applyBorder="1" applyAlignment="1">
      <alignment horizontal="centerContinuous" vertical="center"/>
    </xf>
    <xf numFmtId="0" fontId="7" fillId="5" borderId="2" xfId="0" applyFont="1" applyFill="1" applyBorder="1" applyAlignment="1">
      <alignment horizontal="centerContinuous" vertical="center"/>
    </xf>
    <xf numFmtId="0" fontId="8" fillId="4" borderId="0" xfId="0" applyFont="1" applyFill="1" applyAlignment="1">
      <alignment horizontal="centerContinuous" vertical="top"/>
    </xf>
    <xf numFmtId="0" fontId="8" fillId="0" borderId="0" xfId="0" applyFont="1" applyAlignment="1">
      <alignment horizontal="centerContinuous"/>
    </xf>
    <xf numFmtId="0" fontId="8" fillId="2" borderId="11" xfId="0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4" fillId="0" borderId="17" xfId="0" applyFont="1" applyBorder="1" applyAlignment="1">
      <alignment horizontal="center" vertical="center" wrapText="1"/>
    </xf>
    <xf numFmtId="0" fontId="9" fillId="0" borderId="0" xfId="0" applyFont="1"/>
    <xf numFmtId="49" fontId="8" fillId="0" borderId="0" xfId="0" applyNumberFormat="1" applyFont="1" applyAlignment="1">
      <alignment horizontal="center" vertical="center"/>
    </xf>
    <xf numFmtId="0" fontId="8" fillId="2" borderId="34" xfId="0" applyFont="1" applyFill="1" applyBorder="1" applyAlignment="1">
      <alignment horizontal="center" vertical="center" wrapText="1"/>
    </xf>
    <xf numFmtId="0" fontId="4" fillId="4" borderId="35" xfId="0" applyFont="1" applyFill="1" applyBorder="1" applyAlignment="1">
      <alignment horizontal="center" vertical="center" wrapText="1"/>
    </xf>
    <xf numFmtId="0" fontId="4" fillId="0" borderId="12" xfId="0" applyFont="1" applyBorder="1" applyAlignment="1">
      <alignment horizontal="center" vertical="center"/>
    </xf>
    <xf numFmtId="0" fontId="4" fillId="4" borderId="0" xfId="0" applyFont="1" applyFill="1" applyAlignment="1">
      <alignment horizontal="center" vertical="center" wrapText="1"/>
    </xf>
    <xf numFmtId="0" fontId="8" fillId="6" borderId="11" xfId="0" applyFont="1" applyFill="1" applyBorder="1" applyAlignment="1">
      <alignment horizontal="center" vertical="center" wrapText="1"/>
    </xf>
    <xf numFmtId="0" fontId="4" fillId="4" borderId="34" xfId="0" applyFont="1" applyFill="1" applyBorder="1" applyAlignment="1">
      <alignment horizontal="center" vertical="center" wrapText="1"/>
    </xf>
    <xf numFmtId="0" fontId="4" fillId="0" borderId="36" xfId="0" applyFont="1" applyBorder="1" applyAlignment="1">
      <alignment horizontal="center" vertical="center"/>
    </xf>
    <xf numFmtId="0" fontId="4" fillId="0" borderId="40" xfId="0" applyFont="1" applyBorder="1" applyAlignment="1">
      <alignment horizontal="center" vertical="center"/>
    </xf>
    <xf numFmtId="0" fontId="4" fillId="0" borderId="41" xfId="0" applyFont="1" applyBorder="1" applyAlignment="1">
      <alignment horizontal="center" vertical="center" wrapText="1"/>
    </xf>
    <xf numFmtId="0" fontId="4" fillId="0" borderId="42" xfId="0" applyFont="1" applyBorder="1" applyAlignment="1">
      <alignment horizontal="center" vertical="center" wrapText="1"/>
    </xf>
    <xf numFmtId="0" fontId="8" fillId="0" borderId="0" xfId="0" applyFont="1"/>
    <xf numFmtId="0" fontId="31" fillId="5" borderId="0" xfId="0" applyFont="1" applyFill="1" applyAlignment="1">
      <alignment horizontal="centerContinuous" vertical="center"/>
    </xf>
    <xf numFmtId="0" fontId="32" fillId="5" borderId="0" xfId="0" applyFont="1" applyFill="1" applyAlignment="1">
      <alignment horizontal="centerContinuous"/>
    </xf>
    <xf numFmtId="0" fontId="8" fillId="0" borderId="0" xfId="0" applyFont="1" applyAlignment="1">
      <alignment horizontal="center"/>
    </xf>
    <xf numFmtId="0" fontId="8" fillId="4" borderId="0" xfId="0" applyFont="1" applyFill="1"/>
    <xf numFmtId="0" fontId="33" fillId="4" borderId="0" xfId="0" applyFont="1" applyFill="1" applyAlignment="1">
      <alignment vertical="top"/>
    </xf>
    <xf numFmtId="0" fontId="8" fillId="4" borderId="0" xfId="0" applyFont="1" applyFill="1" applyAlignment="1">
      <alignment horizontal="center" vertical="center" wrapText="1"/>
    </xf>
    <xf numFmtId="0" fontId="34" fillId="4" borderId="0" xfId="0" applyFont="1" applyFill="1"/>
    <xf numFmtId="0" fontId="8" fillId="0" borderId="0" xfId="0" applyFont="1" applyAlignment="1">
      <alignment horizontal="right"/>
    </xf>
    <xf numFmtId="0" fontId="33" fillId="0" borderId="0" xfId="0" applyFont="1" applyAlignment="1">
      <alignment horizontal="center" vertical="top"/>
    </xf>
    <xf numFmtId="0" fontId="7" fillId="0" borderId="0" xfId="0" applyFont="1" applyAlignment="1">
      <alignment horizontal="center" vertical="center"/>
    </xf>
    <xf numFmtId="0" fontId="6" fillId="0" borderId="0" xfId="0" applyFont="1"/>
    <xf numFmtId="0" fontId="8" fillId="0" borderId="8" xfId="0" applyFont="1" applyBorder="1" applyAlignment="1">
      <alignment vertical="center" wrapText="1"/>
    </xf>
    <xf numFmtId="0" fontId="4" fillId="0" borderId="44" xfId="0" applyFont="1" applyBorder="1" applyAlignment="1">
      <alignment horizontal="center" vertical="center" wrapText="1"/>
    </xf>
    <xf numFmtId="0" fontId="4" fillId="0" borderId="43" xfId="0" applyFont="1" applyBorder="1" applyAlignment="1">
      <alignment horizontal="center" vertical="center" wrapText="1"/>
    </xf>
    <xf numFmtId="0" fontId="4" fillId="0" borderId="45" xfId="0" applyFont="1" applyBorder="1" applyAlignment="1">
      <alignment horizontal="center" vertical="center" wrapText="1"/>
    </xf>
    <xf numFmtId="0" fontId="4" fillId="0" borderId="46" xfId="0" applyFont="1" applyBorder="1" applyAlignment="1">
      <alignment horizontal="center" vertical="center" wrapText="1"/>
    </xf>
    <xf numFmtId="0" fontId="1" fillId="0" borderId="0" xfId="1" applyAlignment="1">
      <alignment readingOrder="1"/>
    </xf>
    <xf numFmtId="0" fontId="5" fillId="0" borderId="1" xfId="0" applyFont="1" applyBorder="1" applyAlignment="1">
      <alignment horizontal="center" vertical="center"/>
    </xf>
    <xf numFmtId="0" fontId="36" fillId="7" borderId="47" xfId="0" applyFont="1" applyFill="1" applyBorder="1" applyAlignment="1">
      <alignment horizontal="left" vertical="center" wrapText="1"/>
    </xf>
    <xf numFmtId="0" fontId="1" fillId="7" borderId="47" xfId="1" applyFill="1" applyBorder="1" applyAlignment="1">
      <alignment horizontal="left" vertical="center" wrapText="1"/>
    </xf>
    <xf numFmtId="0" fontId="37" fillId="7" borderId="47" xfId="0" applyFont="1" applyFill="1" applyBorder="1" applyAlignment="1">
      <alignment horizontal="center" vertical="center"/>
    </xf>
    <xf numFmtId="0" fontId="36" fillId="7" borderId="47" xfId="0" applyFont="1" applyFill="1" applyBorder="1" applyAlignment="1">
      <alignment horizontal="right" vertical="center" wrapText="1"/>
    </xf>
    <xf numFmtId="0" fontId="36" fillId="8" borderId="47" xfId="0" applyFont="1" applyFill="1" applyBorder="1" applyAlignment="1">
      <alignment horizontal="left" vertical="center" wrapText="1"/>
    </xf>
    <xf numFmtId="0" fontId="1" fillId="8" borderId="47" xfId="1" applyFill="1" applyBorder="1" applyAlignment="1">
      <alignment horizontal="left" vertical="center" wrapText="1"/>
    </xf>
    <xf numFmtId="0" fontId="37" fillId="8" borderId="47" xfId="0" applyFont="1" applyFill="1" applyBorder="1" applyAlignment="1">
      <alignment horizontal="center" vertical="center"/>
    </xf>
    <xf numFmtId="0" fontId="36" fillId="8" borderId="47" xfId="0" applyFont="1" applyFill="1" applyBorder="1" applyAlignment="1">
      <alignment horizontal="right" vertical="center" wrapText="1"/>
    </xf>
    <xf numFmtId="49" fontId="4" fillId="0" borderId="48" xfId="0" applyNumberFormat="1" applyFont="1" applyBorder="1" applyAlignment="1">
      <alignment vertical="center" wrapText="1"/>
    </xf>
    <xf numFmtId="0" fontId="9" fillId="0" borderId="14" xfId="0" applyFont="1" applyBorder="1" applyAlignment="1">
      <alignment vertical="center" wrapText="1"/>
    </xf>
    <xf numFmtId="0" fontId="0" fillId="0" borderId="14" xfId="0" applyBorder="1"/>
    <xf numFmtId="0" fontId="0" fillId="0" borderId="49" xfId="0" applyBorder="1"/>
    <xf numFmtId="0" fontId="4" fillId="0" borderId="1" xfId="0" applyFont="1" applyBorder="1"/>
    <xf numFmtId="0" fontId="16" fillId="0" borderId="0" xfId="0" applyFont="1"/>
    <xf numFmtId="0" fontId="7" fillId="0" borderId="0" xfId="0" applyFont="1" applyAlignment="1">
      <alignment horizontal="left" vertical="top"/>
    </xf>
    <xf numFmtId="49" fontId="15" fillId="0" borderId="0" xfId="0" applyNumberFormat="1" applyFont="1" applyAlignment="1">
      <alignment horizontal="right" vertical="center"/>
    </xf>
    <xf numFmtId="0" fontId="4" fillId="0" borderId="0" xfId="0" applyFont="1" applyAlignment="1">
      <alignment horizontal="right"/>
    </xf>
    <xf numFmtId="1" fontId="4" fillId="0" borderId="0" xfId="0" applyNumberFormat="1" applyFont="1"/>
    <xf numFmtId="0" fontId="15" fillId="0" borderId="0" xfId="0" applyFont="1" applyAlignment="1">
      <alignment horizontal="left"/>
    </xf>
    <xf numFmtId="0" fontId="15" fillId="0" borderId="0" xfId="0" applyFont="1" applyAlignment="1">
      <alignment horizontal="right" vertical="center"/>
    </xf>
    <xf numFmtId="1" fontId="15" fillId="0" borderId="0" xfId="0" applyNumberFormat="1" applyFont="1" applyAlignment="1">
      <alignment horizontal="left" vertical="center" wrapText="1"/>
    </xf>
    <xf numFmtId="0" fontId="12" fillId="0" borderId="0" xfId="0" applyFont="1" applyAlignment="1">
      <alignment horizontal="left" vertical="center"/>
    </xf>
    <xf numFmtId="0" fontId="12" fillId="0" borderId="1" xfId="0" applyFont="1" applyBorder="1" applyAlignment="1">
      <alignment horizontal="center" vertical="center" wrapText="1"/>
    </xf>
    <xf numFmtId="0" fontId="4" fillId="0" borderId="37" xfId="0" applyFont="1" applyBorder="1"/>
    <xf numFmtId="0" fontId="4" fillId="0" borderId="50" xfId="0" applyFont="1" applyBorder="1" applyAlignment="1">
      <alignment horizontal="center" vertical="center" wrapText="1"/>
    </xf>
    <xf numFmtId="0" fontId="4" fillId="0" borderId="51" xfId="0" applyFont="1" applyBorder="1" applyAlignment="1">
      <alignment horizontal="center" vertical="center" wrapText="1"/>
    </xf>
    <xf numFmtId="0" fontId="16" fillId="0" borderId="0" xfId="0" applyFont="1" applyAlignment="1">
      <alignment horizontal="right"/>
    </xf>
    <xf numFmtId="0" fontId="16" fillId="9" borderId="1" xfId="0" applyFont="1" applyFill="1" applyBorder="1" applyAlignment="1">
      <alignment horizontal="center"/>
    </xf>
    <xf numFmtId="0" fontId="5" fillId="4" borderId="1" xfId="0" applyFont="1" applyFill="1" applyBorder="1" applyAlignment="1">
      <alignment horizontal="center" vertical="center" wrapText="1"/>
    </xf>
    <xf numFmtId="0" fontId="4" fillId="4" borderId="31" xfId="0" applyFont="1" applyFill="1" applyBorder="1" applyAlignment="1">
      <alignment vertical="center" wrapText="1"/>
    </xf>
    <xf numFmtId="0" fontId="10" fillId="4" borderId="0" xfId="0" applyFont="1" applyFill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7" fillId="0" borderId="0" xfId="0" applyFont="1"/>
    <xf numFmtId="0" fontId="0" fillId="0" borderId="0" xfId="0" applyAlignment="1">
      <alignment horizontal="center"/>
    </xf>
    <xf numFmtId="0" fontId="5" fillId="0" borderId="0" xfId="0" applyFont="1" applyAlignment="1">
      <alignment horizontal="left" vertical="center" wrapText="1"/>
    </xf>
    <xf numFmtId="0" fontId="10" fillId="0" borderId="13" xfId="0" applyFont="1" applyBorder="1" applyAlignment="1">
      <alignment horizontal="center" vertical="center"/>
    </xf>
    <xf numFmtId="49" fontId="4" fillId="0" borderId="14" xfId="0" applyNumberFormat="1" applyFont="1" applyBorder="1" applyAlignment="1">
      <alignment vertical="center" wrapText="1"/>
    </xf>
    <xf numFmtId="0" fontId="4" fillId="0" borderId="6" xfId="0" applyFont="1" applyBorder="1" applyAlignment="1">
      <alignment vertical="center" wrapText="1"/>
    </xf>
    <xf numFmtId="0" fontId="4" fillId="0" borderId="14" xfId="0" applyFont="1" applyBorder="1" applyAlignment="1">
      <alignment vertical="center" wrapText="1"/>
    </xf>
    <xf numFmtId="0" fontId="7" fillId="0" borderId="0" xfId="0" applyFont="1" applyAlignment="1">
      <alignment horizontal="center" vertical="center"/>
    </xf>
    <xf numFmtId="0" fontId="8" fillId="0" borderId="13" xfId="0" applyFont="1" applyBorder="1"/>
    <xf numFmtId="2" fontId="8" fillId="4" borderId="13" xfId="0" applyNumberFormat="1" applyFont="1" applyFill="1" applyBorder="1" applyAlignment="1">
      <alignment horizontal="left" vertical="center"/>
    </xf>
    <xf numFmtId="2" fontId="8" fillId="0" borderId="13" xfId="0" applyNumberFormat="1" applyFont="1" applyBorder="1"/>
    <xf numFmtId="0" fontId="23" fillId="5" borderId="0" xfId="0" applyFont="1" applyFill="1" applyAlignment="1">
      <alignment horizontal="center" vertical="center" textRotation="90" wrapText="1"/>
    </xf>
    <xf numFmtId="0" fontId="24" fillId="5" borderId="0" xfId="0" applyFont="1" applyFill="1" applyAlignment="1">
      <alignment horizontal="center" vertical="center" textRotation="90" wrapText="1"/>
    </xf>
    <xf numFmtId="0" fontId="20" fillId="5" borderId="0" xfId="0" applyFont="1" applyFill="1" applyAlignment="1">
      <alignment horizontal="center" vertical="top" textRotation="255"/>
    </xf>
    <xf numFmtId="0" fontId="21" fillId="5" borderId="0" xfId="0" applyFont="1" applyFill="1" applyAlignment="1">
      <alignment horizontal="center" vertical="top"/>
    </xf>
    <xf numFmtId="0" fontId="24" fillId="5" borderId="33" xfId="0" applyFont="1" applyFill="1" applyBorder="1" applyAlignment="1">
      <alignment horizontal="center" vertical="center" textRotation="90" wrapText="1"/>
    </xf>
    <xf numFmtId="0" fontId="0" fillId="5" borderId="0" xfId="0" applyFill="1" applyAlignment="1">
      <alignment horizontal="center"/>
    </xf>
    <xf numFmtId="0" fontId="0" fillId="5" borderId="33" xfId="0" applyFill="1" applyBorder="1" applyAlignment="1">
      <alignment horizontal="center"/>
    </xf>
    <xf numFmtId="0" fontId="0" fillId="5" borderId="0" xfId="0" applyFill="1" applyAlignment="1">
      <alignment horizontal="center" vertical="center" textRotation="90" wrapText="1"/>
    </xf>
    <xf numFmtId="0" fontId="0" fillId="5" borderId="13" xfId="0" applyFill="1" applyBorder="1" applyAlignment="1">
      <alignment horizontal="center" vertical="center"/>
    </xf>
    <xf numFmtId="0" fontId="23" fillId="5" borderId="3" xfId="0" applyFont="1" applyFill="1" applyBorder="1" applyAlignment="1">
      <alignment horizontal="center" vertical="center" textRotation="90" wrapText="1"/>
    </xf>
    <xf numFmtId="0" fontId="0" fillId="0" borderId="1" xfId="0" applyBorder="1"/>
    <xf numFmtId="0" fontId="39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52" xfId="0" applyBorder="1" applyAlignment="1">
      <alignment horizontal="center" vertical="top"/>
    </xf>
    <xf numFmtId="0" fontId="0" fillId="0" borderId="3" xfId="0" applyBorder="1" applyAlignment="1">
      <alignment horizontal="center" vertical="top"/>
    </xf>
    <xf numFmtId="0" fontId="0" fillId="0" borderId="53" xfId="0" applyBorder="1" applyAlignment="1">
      <alignment horizontal="center" vertical="top"/>
    </xf>
    <xf numFmtId="0" fontId="0" fillId="0" borderId="54" xfId="0" applyBorder="1" applyAlignment="1">
      <alignment horizontal="center" vertical="top"/>
    </xf>
    <xf numFmtId="0" fontId="0" fillId="0" borderId="0" xfId="0" applyAlignment="1">
      <alignment horizontal="center" vertical="top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13" xfId="0" applyBorder="1" applyAlignment="1">
      <alignment horizontal="center" vertical="top"/>
    </xf>
    <xf numFmtId="0" fontId="0" fillId="0" borderId="57" xfId="0" applyBorder="1" applyAlignment="1">
      <alignment horizontal="center" vertical="top"/>
    </xf>
    <xf numFmtId="0" fontId="16" fillId="9" borderId="1" xfId="0" applyFont="1" applyFill="1" applyBorder="1" applyAlignment="1">
      <alignment horizontal="center"/>
    </xf>
    <xf numFmtId="0" fontId="7" fillId="5" borderId="0" xfId="0" applyFont="1" applyFill="1" applyAlignment="1">
      <alignment horizontal="center" vertical="center"/>
    </xf>
    <xf numFmtId="0" fontId="16" fillId="0" borderId="28" xfId="0" applyFont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7" fillId="4" borderId="13" xfId="0" applyFont="1" applyFill="1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1" fillId="0" borderId="0" xfId="1" applyAlignment="1">
      <alignment horizontal="left" vertical="center" wrapText="1"/>
    </xf>
    <xf numFmtId="0" fontId="0" fillId="0" borderId="0" xfId="0" applyAlignment="1">
      <alignment horizontal="right" vertical="center" wrapText="1"/>
    </xf>
    <xf numFmtId="0" fontId="9" fillId="10" borderId="31" xfId="0" applyFont="1" applyFill="1" applyBorder="1" applyAlignment="1">
      <alignment vertical="center" wrapText="1"/>
    </xf>
    <xf numFmtId="0" fontId="4" fillId="10" borderId="31" xfId="0" applyFont="1" applyFill="1" applyBorder="1" applyAlignment="1">
      <alignment vertical="center" wrapText="1"/>
    </xf>
    <xf numFmtId="0" fontId="9" fillId="11" borderId="31" xfId="0" applyFont="1" applyFill="1" applyBorder="1" applyAlignment="1">
      <alignment vertical="center" wrapText="1"/>
    </xf>
    <xf numFmtId="0" fontId="4" fillId="11" borderId="31" xfId="0" applyFont="1" applyFill="1" applyBorder="1" applyAlignment="1">
      <alignment vertical="center" wrapText="1"/>
    </xf>
    <xf numFmtId="0" fontId="4" fillId="12" borderId="31" xfId="0" applyFont="1" applyFill="1" applyBorder="1" applyAlignment="1">
      <alignment vertical="center" wrapText="1"/>
    </xf>
  </cellXfs>
  <cellStyles count="2">
    <cellStyle name="Hyperlink" xfId="1" builtinId="8"/>
    <cellStyle name="Normal" xfId="0" builtinId="0"/>
  </cellStyles>
  <dxfs count="146"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theme="7" tint="0.59996337778862885"/>
        </patternFill>
      </fill>
    </dxf>
    <dxf>
      <font>
        <strike val="0"/>
      </font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strike val="0"/>
      </font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strike val="0"/>
      </font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strike val="0"/>
      </font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strike val="0"/>
      </font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strike val="0"/>
      </font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strike val="0"/>
      </font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strike val="0"/>
      </font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strike val="0"/>
      </font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strike val="0"/>
      </font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strike val="0"/>
      </font>
      <fill>
        <patternFill>
          <bgColor theme="7" tint="0.59996337778862885"/>
        </patternFill>
      </fill>
    </dxf>
    <dxf>
      <font>
        <strike val="0"/>
      </font>
      <fill>
        <patternFill>
          <bgColor theme="7" tint="0.59996337778862885"/>
        </patternFill>
      </fill>
    </dxf>
    <dxf>
      <font>
        <strike val="0"/>
      </font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CheckBox" checked="Checked" fmlaLink="$G$7" lockText="1" noThreeD="1"/>
</file>

<file path=xl/ctrlProps/ctrlProp2.xml><?xml version="1.0" encoding="utf-8"?>
<formControlPr xmlns="http://schemas.microsoft.com/office/spreadsheetml/2009/9/main" objectType="CheckBox" checked="Checked" fmlaLink="$G$8" lockText="1" noThreeD="1"/>
</file>

<file path=xl/ctrlProps/ctrlProp3.xml><?xml version="1.0" encoding="utf-8"?>
<formControlPr xmlns="http://schemas.microsoft.com/office/spreadsheetml/2009/9/main" objectType="CheckBox" checked="Checked" fmlaLink="$G$13" lockText="1" noThreeD="1"/>
</file>

<file path=xl/ctrlProps/ctrlProp4.xml><?xml version="1.0" encoding="utf-8"?>
<formControlPr xmlns="http://schemas.microsoft.com/office/spreadsheetml/2009/9/main" objectType="CheckBox" fmlaLink="$G$16" lockText="1" noThreeD="1"/>
</file>

<file path=xl/ctrlProps/ctrlProp5.xml><?xml version="1.0" encoding="utf-8"?>
<formControlPr xmlns="http://schemas.microsoft.com/office/spreadsheetml/2009/9/main" objectType="CheckBox" fmlaLink="$G$19" lockText="1" noThreeD="1"/>
</file>

<file path=xl/ctrlProps/ctrlProp6.xml><?xml version="1.0" encoding="utf-8"?>
<formControlPr xmlns="http://schemas.microsoft.com/office/spreadsheetml/2009/9/main" objectType="CheckBox" fmlaLink="$G$20" lockText="1" noThreeD="1"/>
</file>

<file path=xl/ctrlProps/ctrlProp7.xml><?xml version="1.0" encoding="utf-8"?>
<formControlPr xmlns="http://schemas.microsoft.com/office/spreadsheetml/2009/9/main" objectType="CheckBox" fmlaLink="$G$22" lockText="1" noThreeD="1"/>
</file>

<file path=xl/ctrlProps/ctrlProp8.xml><?xml version="1.0" encoding="utf-8"?>
<formControlPr xmlns="http://schemas.microsoft.com/office/spreadsheetml/2009/9/main" objectType="CheckBox" fmlaLink="$G$11" lockText="1" noThreeD="1"/>
</file>

<file path=xl/ctrlProps/ctrlProp9.xml><?xml version="1.0" encoding="utf-8"?>
<formControlPr xmlns="http://schemas.microsoft.com/office/spreadsheetml/2009/9/main" objectType="CheckBox" fmlaLink="$G$12" lockText="1" noThreeD="1"/>
</file>

<file path=xl/ctrlProps/ctrlProp10.xml><?xml version="1.0" encoding="utf-8"?>
<formControlPr xmlns="http://schemas.microsoft.com/office/spreadsheetml/2009/9/main" objectType="CheckBox" fmlaLink="$G$25" lockText="1" noThreeD="1"/>
</file>

<file path=xl/ctrlProps/ctrlProp11.xml><?xml version="1.0" encoding="utf-8"?>
<formControlPr xmlns="http://schemas.microsoft.com/office/spreadsheetml/2009/9/main" objectType="CheckBox" fmlaLink="$G$17" lockText="1" noThreeD="1"/>
</file>

<file path=xl/ctrlProps/ctrlProp12.xml><?xml version="1.0" encoding="utf-8"?>
<formControlPr xmlns="http://schemas.microsoft.com/office/spreadsheetml/2009/9/main" objectType="CheckBox" fmlaLink="$G$18" lockText="1" noThreeD="1"/>
</file>

<file path=xl/ctrlProps/ctrlProp13.xml><?xml version="1.0" encoding="utf-8"?>
<formControlPr xmlns="http://schemas.microsoft.com/office/spreadsheetml/2009/9/main" objectType="CheckBox" fmlaLink="$G$23" lockText="1" noThreeD="1"/>
</file>

<file path=xl/ctrlProps/ctrlProp14.xml><?xml version="1.0" encoding="utf-8"?>
<formControlPr xmlns="http://schemas.microsoft.com/office/spreadsheetml/2009/9/main" objectType="CheckBox" fmlaLink="$G$24" lockText="1" noThreeD="1"/>
</file>

<file path=xl/ctrlProps/ctrlProp15.xml><?xml version="1.0" encoding="utf-8"?>
<formControlPr xmlns="http://schemas.microsoft.com/office/spreadsheetml/2009/9/main" objectType="CheckBox" fmlaLink="$G$28" lockText="1" noThreeD="1"/>
</file>

<file path=xl/ctrlProps/ctrlProp16.xml><?xml version="1.0" encoding="utf-8"?>
<formControlPr xmlns="http://schemas.microsoft.com/office/spreadsheetml/2009/9/main" objectType="CheckBox" fmlaLink="$G$29" lockText="1" noThreeD="1"/>
</file>

<file path=xl/ctrlProps/ctrlProp17.xml><?xml version="1.0" encoding="utf-8"?>
<formControlPr xmlns="http://schemas.microsoft.com/office/spreadsheetml/2009/9/main" objectType="CheckBox" fmlaLink="$G$32" lockText="1" noThreeD="1"/>
</file>

<file path=xl/ctrlProps/ctrlProp18.xml><?xml version="1.0" encoding="utf-8"?>
<formControlPr xmlns="http://schemas.microsoft.com/office/spreadsheetml/2009/9/main" objectType="CheckBox" fmlaLink="$G$30" lockText="1" noThreeD="1"/>
</file>

<file path=xl/ctrlProps/ctrlProp19.xml><?xml version="1.0" encoding="utf-8"?>
<formControlPr xmlns="http://schemas.microsoft.com/office/spreadsheetml/2009/9/main" objectType="CheckBox" fmlaLink="$G$33" lockText="1" noThreeD="1"/>
</file>

<file path=xl/ctrlProps/ctrlProp20.xml><?xml version="1.0" encoding="utf-8"?>
<formControlPr xmlns="http://schemas.microsoft.com/office/spreadsheetml/2009/9/main" objectType="CheckBox" fmlaLink="$G$35" lockText="1" noThreeD="1"/>
</file>

<file path=xl/ctrlProps/ctrlProp21.xml><?xml version="1.0" encoding="utf-8"?>
<formControlPr xmlns="http://schemas.microsoft.com/office/spreadsheetml/2009/9/main" objectType="CheckBox" fmlaLink="$G$40" lockText="1" noThreeD="1"/>
</file>

<file path=xl/ctrlProps/ctrlProp22.xml><?xml version="1.0" encoding="utf-8"?>
<formControlPr xmlns="http://schemas.microsoft.com/office/spreadsheetml/2009/9/main" objectType="CheckBox" fmlaLink="$G$37" lockText="1" noThreeD="1"/>
</file>

<file path=xl/ctrlProps/ctrlProp23.xml><?xml version="1.0" encoding="utf-8"?>
<formControlPr xmlns="http://schemas.microsoft.com/office/spreadsheetml/2009/9/main" objectType="CheckBox" fmlaLink="$G$39" lockText="1" noThreeD="1"/>
</file>

<file path=xl/ctrlProps/ctrlProp24.xml><?xml version="1.0" encoding="utf-8"?>
<formControlPr xmlns="http://schemas.microsoft.com/office/spreadsheetml/2009/9/main" objectType="CheckBox" fmlaLink="$G$41" lockText="1" noThreeD="1"/>
</file>

<file path=xl/ctrlProps/ctrlProp25.xml><?xml version="1.0" encoding="utf-8"?>
<formControlPr xmlns="http://schemas.microsoft.com/office/spreadsheetml/2009/9/main" objectType="CheckBox" checked="Checked" fmlaLink="$G$31" lockText="1" noThreeD="1"/>
</file>

<file path=xl/ctrlProps/ctrlProp26.xml><?xml version="1.0" encoding="utf-8"?>
<formControlPr xmlns="http://schemas.microsoft.com/office/spreadsheetml/2009/9/main" objectType="CheckBox" fmlaLink="$G$45" lockText="1" noThreeD="1"/>
</file>

<file path=xl/ctrlProps/ctrlProp27.xml><?xml version="1.0" encoding="utf-8"?>
<formControlPr xmlns="http://schemas.microsoft.com/office/spreadsheetml/2009/9/main" objectType="CheckBox" fmlaLink="$G$46" lockText="1" noThreeD="1"/>
</file>

<file path=xl/ctrlProps/ctrlProp28.xml><?xml version="1.0" encoding="utf-8"?>
<formControlPr xmlns="http://schemas.microsoft.com/office/spreadsheetml/2009/9/main" objectType="CheckBox" fmlaLink="$G$44" lockText="1" noThreeD="1"/>
</file>

<file path=xl/ctrlProps/ctrlProp29.xml><?xml version="1.0" encoding="utf-8"?>
<formControlPr xmlns="http://schemas.microsoft.com/office/spreadsheetml/2009/9/main" objectType="CheckBox" fmlaLink="$G$34" lockText="1" noThreeD="1"/>
</file>

<file path=xl/ctrlProps/ctrlProp30.xml><?xml version="1.0" encoding="utf-8"?>
<formControlPr xmlns="http://schemas.microsoft.com/office/spreadsheetml/2009/9/main" objectType="CheckBox" fmlaLink="$G$38" lockText="1" noThreeD="1"/>
</file>

<file path=xl/ctrlProps/ctrlProp31.xml><?xml version="1.0" encoding="utf-8"?>
<formControlPr xmlns="http://schemas.microsoft.com/office/spreadsheetml/2009/9/main" objectType="CheckBox" fmlaLink="$G$36" lockText="1" noThreeD="1"/>
</file>

<file path=xl/ctrlProps/ctrlProp32.xml><?xml version="1.0" encoding="utf-8"?>
<formControlPr xmlns="http://schemas.microsoft.com/office/spreadsheetml/2009/9/main" objectType="CheckBox" checked="Checked" fmlaLink="$G$50" lockText="1" noThreeD="1"/>
</file>

<file path=xl/ctrlProps/ctrlProp33.xml><?xml version="1.0" encoding="utf-8"?>
<formControlPr xmlns="http://schemas.microsoft.com/office/spreadsheetml/2009/9/main" objectType="CheckBox" checked="Checked" fmlaLink="$G$51" lockText="1" noThreeD="1"/>
</file>

<file path=xl/ctrlProps/ctrlProp34.xml><?xml version="1.0" encoding="utf-8"?>
<formControlPr xmlns="http://schemas.microsoft.com/office/spreadsheetml/2009/9/main" objectType="CheckBox" fmlaLink="$G$52" lockText="1" noThreeD="1"/>
</file>

<file path=xl/ctrlProps/ctrlProp35.xml><?xml version="1.0" encoding="utf-8"?>
<formControlPr xmlns="http://schemas.microsoft.com/office/spreadsheetml/2009/9/main" objectType="CheckBox" fmlaLink="$G$53" lockText="1" noThreeD="1"/>
</file>

<file path=xl/ctrlProps/ctrlProp36.xml><?xml version="1.0" encoding="utf-8"?>
<formControlPr xmlns="http://schemas.microsoft.com/office/spreadsheetml/2009/9/main" objectType="CheckBox" fmlaLink="$G$54" lockText="1" noThreeD="1"/>
</file>

<file path=xl/ctrlProps/ctrlProp37.xml><?xml version="1.0" encoding="utf-8"?>
<formControlPr xmlns="http://schemas.microsoft.com/office/spreadsheetml/2009/9/main" objectType="CheckBox" fmlaLink="$G$55" lockText="1" noThreeD="1"/>
</file>

<file path=xl/ctrlProps/ctrlProp38.xml><?xml version="1.0" encoding="utf-8"?>
<formControlPr xmlns="http://schemas.microsoft.com/office/spreadsheetml/2009/9/main" objectType="CheckBox" fmlaLink="$G$56" lockText="1" noThreeD="1"/>
</file>

<file path=xl/ctrlProps/ctrlProp39.xml><?xml version="1.0" encoding="utf-8"?>
<formControlPr xmlns="http://schemas.microsoft.com/office/spreadsheetml/2009/9/main" objectType="CheckBox" checked="Checked" fmlaLink="$G$57" lockText="1" noThreeD="1"/>
</file>

<file path=xl/ctrlProps/ctrlProp40.xml><?xml version="1.0" encoding="utf-8"?>
<formControlPr xmlns="http://schemas.microsoft.com/office/spreadsheetml/2009/9/main" objectType="CheckBox" checked="Checked" fmlaLink="$G$60" lockText="1" noThreeD="1"/>
</file>

<file path=xl/ctrlProps/ctrlProp41.xml><?xml version="1.0" encoding="utf-8"?>
<formControlPr xmlns="http://schemas.microsoft.com/office/spreadsheetml/2009/9/main" objectType="CheckBox" checked="Checked" fmlaLink="$G$61" lockText="1" noThreeD="1"/>
</file>

<file path=xl/ctrlProps/ctrlProp42.xml><?xml version="1.0" encoding="utf-8"?>
<formControlPr xmlns="http://schemas.microsoft.com/office/spreadsheetml/2009/9/main" objectType="CheckBox" checked="Checked" fmlaLink="$G$62" lockText="1" noThreeD="1"/>
</file>

<file path=xl/ctrlProps/ctrlProp43.xml><?xml version="1.0" encoding="utf-8"?>
<formControlPr xmlns="http://schemas.microsoft.com/office/spreadsheetml/2009/9/main" objectType="CheckBox" fmlaLink="$G$63" lockText="1" noThreeD="1"/>
</file>

<file path=xl/ctrlProps/ctrlProp44.xml><?xml version="1.0" encoding="utf-8"?>
<formControlPr xmlns="http://schemas.microsoft.com/office/spreadsheetml/2009/9/main" objectType="CheckBox" fmlaLink="$K$11" lockText="1" noThreeD="1"/>
</file>

<file path=xl/ctrlProps/ctrlProp45.xml><?xml version="1.0" encoding="utf-8"?>
<formControlPr xmlns="http://schemas.microsoft.com/office/spreadsheetml/2009/9/main" objectType="CheckBox" fmlaLink="$K$12" lockText="1" noThreeD="1"/>
</file>

<file path=xl/ctrlProps/ctrlProp46.xml><?xml version="1.0" encoding="utf-8"?>
<formControlPr xmlns="http://schemas.microsoft.com/office/spreadsheetml/2009/9/main" objectType="CheckBox" fmlaLink="$G$21" lockText="1" noThreeD="1"/>
</file>

<file path=xl/ctrlProps/ctrlProp47.xml><?xml version="1.0" encoding="utf-8"?>
<formControlPr xmlns="http://schemas.microsoft.com/office/spreadsheetml/2009/9/main" objectType="CheckBox" fmlaLink="$G$15" lockText="1" noThreeD="1"/>
</file>

<file path=xl/ctrlProps/ctrlProp48.xml><?xml version="1.0" encoding="utf-8"?>
<formControlPr xmlns="http://schemas.microsoft.com/office/spreadsheetml/2009/9/main" objectType="CheckBox" fmlaLink="$G$14" lockText="1" noThreeD="1"/>
</file>

<file path=xl/ctrlProps/ctrlProp49.xml><?xml version="1.0" encoding="utf-8"?>
<formControlPr xmlns="http://schemas.microsoft.com/office/spreadsheetml/2009/9/main" objectType="CheckBox" fmlaLink="$G$46" lockText="1" noThreeD="1"/>
</file>

<file path=xl/ctrlProps/ctrlProp50.xml><?xml version="1.0" encoding="utf-8"?>
<formControlPr xmlns="http://schemas.microsoft.com/office/spreadsheetml/2009/9/main" objectType="CheckBox" fmlaLink="$G$46" lockText="1" noThreeD="1"/>
</file>

<file path=xl/ctrlProps/ctrlProp51.xml><?xml version="1.0" encoding="utf-8"?>
<formControlPr xmlns="http://schemas.microsoft.com/office/spreadsheetml/2009/9/main" objectType="CheckBox" fmlaLink="$G$46" lockText="1" noThreeD="1"/>
</file>

<file path=xl/ctrlProps/ctrlProp52.xml><?xml version="1.0" encoding="utf-8"?>
<formControlPr xmlns="http://schemas.microsoft.com/office/spreadsheetml/2009/9/main" objectType="CheckBox" fmlaLink="$G$47" lockText="1" noThreeD="1"/>
</file>

<file path=xl/ctrlProps/ctrlProp53.xml><?xml version="1.0" encoding="utf-8"?>
<formControlPr xmlns="http://schemas.microsoft.com/office/spreadsheetml/2009/9/main" objectType="CheckBox" fmlaLink="M60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5</xdr:row>
          <xdr:rowOff>276225</xdr:rowOff>
        </xdr:from>
        <xdr:to>
          <xdr:col>6</xdr:col>
          <xdr:colOff>8282</xdr:colOff>
          <xdr:row>7</xdr:row>
          <xdr:rowOff>19050</xdr:rowOff>
        </xdr:to>
        <xdr:sp macro="" textlink="">
          <xdr:nvSpPr>
            <xdr:cNvPr id="13313" name="Check Box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7</xdr:row>
          <xdr:rowOff>0</xdr:rowOff>
        </xdr:from>
        <xdr:to>
          <xdr:col>6</xdr:col>
          <xdr:colOff>8282</xdr:colOff>
          <xdr:row>8</xdr:row>
          <xdr:rowOff>19050</xdr:rowOff>
        </xdr:to>
        <xdr:sp macro="" textlink="">
          <xdr:nvSpPr>
            <xdr:cNvPr id="13314" name="Check Box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11</xdr:row>
          <xdr:rowOff>180975</xdr:rowOff>
        </xdr:from>
        <xdr:to>
          <xdr:col>5</xdr:col>
          <xdr:colOff>371475</xdr:colOff>
          <xdr:row>13</xdr:row>
          <xdr:rowOff>9525</xdr:rowOff>
        </xdr:to>
        <xdr:sp macro="" textlink="">
          <xdr:nvSpPr>
            <xdr:cNvPr id="13315" name="Check Box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0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14</xdr:row>
          <xdr:rowOff>190500</xdr:rowOff>
        </xdr:from>
        <xdr:to>
          <xdr:col>5</xdr:col>
          <xdr:colOff>371475</xdr:colOff>
          <xdr:row>16</xdr:row>
          <xdr:rowOff>9525</xdr:rowOff>
        </xdr:to>
        <xdr:sp macro="" textlink="">
          <xdr:nvSpPr>
            <xdr:cNvPr id="13316" name="Check Box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0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17</xdr:row>
          <xdr:rowOff>190500</xdr:rowOff>
        </xdr:from>
        <xdr:to>
          <xdr:col>7</xdr:col>
          <xdr:colOff>1243</xdr:colOff>
          <xdr:row>19</xdr:row>
          <xdr:rowOff>9525</xdr:rowOff>
        </xdr:to>
        <xdr:sp macro="" textlink="">
          <xdr:nvSpPr>
            <xdr:cNvPr id="13317" name="Check Box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0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18</xdr:row>
          <xdr:rowOff>180975</xdr:rowOff>
        </xdr:from>
        <xdr:to>
          <xdr:col>7</xdr:col>
          <xdr:colOff>1243</xdr:colOff>
          <xdr:row>20</xdr:row>
          <xdr:rowOff>0</xdr:rowOff>
        </xdr:to>
        <xdr:sp macro="" textlink="">
          <xdr:nvSpPr>
            <xdr:cNvPr id="13318" name="Check Box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0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20</xdr:row>
          <xdr:rowOff>171450</xdr:rowOff>
        </xdr:from>
        <xdr:to>
          <xdr:col>5</xdr:col>
          <xdr:colOff>371475</xdr:colOff>
          <xdr:row>21</xdr:row>
          <xdr:rowOff>190500</xdr:rowOff>
        </xdr:to>
        <xdr:sp macro="" textlink="">
          <xdr:nvSpPr>
            <xdr:cNvPr id="13319" name="Check Box 7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0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9</xdr:row>
          <xdr:rowOff>266700</xdr:rowOff>
        </xdr:from>
        <xdr:to>
          <xdr:col>5</xdr:col>
          <xdr:colOff>371475</xdr:colOff>
          <xdr:row>11</xdr:row>
          <xdr:rowOff>0</xdr:rowOff>
        </xdr:to>
        <xdr:sp macro="" textlink="">
          <xdr:nvSpPr>
            <xdr:cNvPr id="13320" name="Check Box 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00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10</xdr:row>
          <xdr:rowOff>161925</xdr:rowOff>
        </xdr:from>
        <xdr:to>
          <xdr:col>5</xdr:col>
          <xdr:colOff>371475</xdr:colOff>
          <xdr:row>11</xdr:row>
          <xdr:rowOff>180975</xdr:rowOff>
        </xdr:to>
        <xdr:sp macro="" textlink="">
          <xdr:nvSpPr>
            <xdr:cNvPr id="13321" name="Check Box 9" hidden="1">
              <a:extLst>
                <a:ext uri="{63B3BB69-23CF-44E3-9099-C40C66FF867C}">
                  <a14:compatExt spid="_x0000_s13321"/>
                </a:ext>
                <a:ext uri="{FF2B5EF4-FFF2-40B4-BE49-F238E27FC236}">
                  <a16:creationId xmlns:a16="http://schemas.microsoft.com/office/drawing/2014/main" id="{00000000-0008-0000-0000-00000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23</xdr:row>
          <xdr:rowOff>200025</xdr:rowOff>
        </xdr:from>
        <xdr:to>
          <xdr:col>5</xdr:col>
          <xdr:colOff>371475</xdr:colOff>
          <xdr:row>25</xdr:row>
          <xdr:rowOff>19050</xdr:rowOff>
        </xdr:to>
        <xdr:sp macro="" textlink="">
          <xdr:nvSpPr>
            <xdr:cNvPr id="13322" name="Check Box 10" hidden="1">
              <a:extLst>
                <a:ext uri="{63B3BB69-23CF-44E3-9099-C40C66FF867C}">
                  <a14:compatExt spid="_x0000_s13322"/>
                </a:ext>
                <a:ext uri="{FF2B5EF4-FFF2-40B4-BE49-F238E27FC236}">
                  <a16:creationId xmlns:a16="http://schemas.microsoft.com/office/drawing/2014/main" id="{00000000-0008-0000-0000-00000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15</xdr:row>
          <xdr:rowOff>180975</xdr:rowOff>
        </xdr:from>
        <xdr:to>
          <xdr:col>5</xdr:col>
          <xdr:colOff>371475</xdr:colOff>
          <xdr:row>17</xdr:row>
          <xdr:rowOff>0</xdr:rowOff>
        </xdr:to>
        <xdr:sp macro="" textlink="">
          <xdr:nvSpPr>
            <xdr:cNvPr id="13323" name="Check Box 11" hidden="1">
              <a:extLst>
                <a:ext uri="{63B3BB69-23CF-44E3-9099-C40C66FF867C}">
                  <a14:compatExt spid="_x0000_s13323"/>
                </a:ext>
                <a:ext uri="{FF2B5EF4-FFF2-40B4-BE49-F238E27FC236}">
                  <a16:creationId xmlns:a16="http://schemas.microsoft.com/office/drawing/2014/main" id="{00000000-0008-0000-0000-00000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16</xdr:row>
          <xdr:rowOff>180975</xdr:rowOff>
        </xdr:from>
        <xdr:to>
          <xdr:col>7</xdr:col>
          <xdr:colOff>1243</xdr:colOff>
          <xdr:row>18</xdr:row>
          <xdr:rowOff>0</xdr:rowOff>
        </xdr:to>
        <xdr:sp macro="" textlink="">
          <xdr:nvSpPr>
            <xdr:cNvPr id="13324" name="Check Box 12" hidden="1">
              <a:extLst>
                <a:ext uri="{63B3BB69-23CF-44E3-9099-C40C66FF867C}">
                  <a14:compatExt spid="_x0000_s13324"/>
                </a:ext>
                <a:ext uri="{FF2B5EF4-FFF2-40B4-BE49-F238E27FC236}">
                  <a16:creationId xmlns:a16="http://schemas.microsoft.com/office/drawing/2014/main" id="{00000000-0008-0000-0000-00000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21</xdr:row>
          <xdr:rowOff>180975</xdr:rowOff>
        </xdr:from>
        <xdr:to>
          <xdr:col>5</xdr:col>
          <xdr:colOff>371475</xdr:colOff>
          <xdr:row>23</xdr:row>
          <xdr:rowOff>0</xdr:rowOff>
        </xdr:to>
        <xdr:sp macro="" textlink="">
          <xdr:nvSpPr>
            <xdr:cNvPr id="13325" name="Check Box 13" hidden="1">
              <a:extLst>
                <a:ext uri="{63B3BB69-23CF-44E3-9099-C40C66FF867C}">
                  <a14:compatExt spid="_x0000_s13325"/>
                </a:ext>
                <a:ext uri="{FF2B5EF4-FFF2-40B4-BE49-F238E27FC236}">
                  <a16:creationId xmlns:a16="http://schemas.microsoft.com/office/drawing/2014/main" id="{00000000-0008-0000-0000-00000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22</xdr:row>
          <xdr:rowOff>190500</xdr:rowOff>
        </xdr:from>
        <xdr:to>
          <xdr:col>5</xdr:col>
          <xdr:colOff>371475</xdr:colOff>
          <xdr:row>24</xdr:row>
          <xdr:rowOff>9525</xdr:rowOff>
        </xdr:to>
        <xdr:sp macro="" textlink="">
          <xdr:nvSpPr>
            <xdr:cNvPr id="13326" name="Check Box 14" hidden="1">
              <a:extLst>
                <a:ext uri="{63B3BB69-23CF-44E3-9099-C40C66FF867C}">
                  <a14:compatExt spid="_x0000_s13326"/>
                </a:ext>
                <a:ext uri="{FF2B5EF4-FFF2-40B4-BE49-F238E27FC236}">
                  <a16:creationId xmlns:a16="http://schemas.microsoft.com/office/drawing/2014/main" id="{00000000-0008-0000-0000-00000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27</xdr:row>
          <xdr:rowOff>0</xdr:rowOff>
        </xdr:from>
        <xdr:to>
          <xdr:col>5</xdr:col>
          <xdr:colOff>333375</xdr:colOff>
          <xdr:row>28</xdr:row>
          <xdr:rowOff>9525</xdr:rowOff>
        </xdr:to>
        <xdr:sp macro="" textlink="">
          <xdr:nvSpPr>
            <xdr:cNvPr id="13328" name="Check Box 16" hidden="1">
              <a:extLst>
                <a:ext uri="{63B3BB69-23CF-44E3-9099-C40C66FF867C}">
                  <a14:compatExt spid="_x0000_s13328"/>
                </a:ext>
                <a:ext uri="{FF2B5EF4-FFF2-40B4-BE49-F238E27FC236}">
                  <a16:creationId xmlns:a16="http://schemas.microsoft.com/office/drawing/2014/main" id="{00000000-0008-0000-0000-00001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28</xdr:row>
          <xdr:rowOff>0</xdr:rowOff>
        </xdr:from>
        <xdr:to>
          <xdr:col>5</xdr:col>
          <xdr:colOff>314325</xdr:colOff>
          <xdr:row>28</xdr:row>
          <xdr:rowOff>161925</xdr:rowOff>
        </xdr:to>
        <xdr:sp macro="" textlink="">
          <xdr:nvSpPr>
            <xdr:cNvPr id="13329" name="Check Box 17" hidden="1">
              <a:extLst>
                <a:ext uri="{63B3BB69-23CF-44E3-9099-C40C66FF867C}">
                  <a14:compatExt spid="_x0000_s13329"/>
                </a:ext>
                <a:ext uri="{FF2B5EF4-FFF2-40B4-BE49-F238E27FC236}">
                  <a16:creationId xmlns:a16="http://schemas.microsoft.com/office/drawing/2014/main" id="{00000000-0008-0000-0000-00001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31</xdr:row>
          <xdr:rowOff>0</xdr:rowOff>
        </xdr:from>
        <xdr:to>
          <xdr:col>5</xdr:col>
          <xdr:colOff>342900</xdr:colOff>
          <xdr:row>31</xdr:row>
          <xdr:rowOff>171450</xdr:rowOff>
        </xdr:to>
        <xdr:sp macro="" textlink="">
          <xdr:nvSpPr>
            <xdr:cNvPr id="13330" name="Check Box 18" hidden="1">
              <a:extLst>
                <a:ext uri="{63B3BB69-23CF-44E3-9099-C40C66FF867C}">
                  <a14:compatExt spid="_x0000_s13330"/>
                </a:ext>
                <a:ext uri="{FF2B5EF4-FFF2-40B4-BE49-F238E27FC236}">
                  <a16:creationId xmlns:a16="http://schemas.microsoft.com/office/drawing/2014/main" id="{00000000-0008-0000-0000-00001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29</xdr:row>
          <xdr:rowOff>9525</xdr:rowOff>
        </xdr:from>
        <xdr:to>
          <xdr:col>5</xdr:col>
          <xdr:colOff>342900</xdr:colOff>
          <xdr:row>30</xdr:row>
          <xdr:rowOff>19050</xdr:rowOff>
        </xdr:to>
        <xdr:sp macro="" textlink="">
          <xdr:nvSpPr>
            <xdr:cNvPr id="13331" name="Check Box 19" hidden="1">
              <a:extLst>
                <a:ext uri="{63B3BB69-23CF-44E3-9099-C40C66FF867C}">
                  <a14:compatExt spid="_x0000_s13331"/>
                </a:ext>
                <a:ext uri="{FF2B5EF4-FFF2-40B4-BE49-F238E27FC236}">
                  <a16:creationId xmlns:a16="http://schemas.microsoft.com/office/drawing/2014/main" id="{00000000-0008-0000-0000-00001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32</xdr:row>
          <xdr:rowOff>0</xdr:rowOff>
        </xdr:from>
        <xdr:to>
          <xdr:col>5</xdr:col>
          <xdr:colOff>342900</xdr:colOff>
          <xdr:row>33</xdr:row>
          <xdr:rowOff>19050</xdr:rowOff>
        </xdr:to>
        <xdr:sp macro="" textlink="">
          <xdr:nvSpPr>
            <xdr:cNvPr id="13332" name="Check Box 20" hidden="1">
              <a:extLst>
                <a:ext uri="{63B3BB69-23CF-44E3-9099-C40C66FF867C}">
                  <a14:compatExt spid="_x0000_s13332"/>
                </a:ext>
                <a:ext uri="{FF2B5EF4-FFF2-40B4-BE49-F238E27FC236}">
                  <a16:creationId xmlns:a16="http://schemas.microsoft.com/office/drawing/2014/main" id="{00000000-0008-0000-0000-00001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33</xdr:row>
          <xdr:rowOff>190500</xdr:rowOff>
        </xdr:from>
        <xdr:to>
          <xdr:col>5</xdr:col>
          <xdr:colOff>333375</xdr:colOff>
          <xdr:row>34</xdr:row>
          <xdr:rowOff>180975</xdr:rowOff>
        </xdr:to>
        <xdr:sp macro="" textlink="">
          <xdr:nvSpPr>
            <xdr:cNvPr id="13333" name="Check Box 21" hidden="1">
              <a:extLst>
                <a:ext uri="{63B3BB69-23CF-44E3-9099-C40C66FF867C}">
                  <a14:compatExt spid="_x0000_s13333"/>
                </a:ext>
                <a:ext uri="{FF2B5EF4-FFF2-40B4-BE49-F238E27FC236}">
                  <a16:creationId xmlns:a16="http://schemas.microsoft.com/office/drawing/2014/main" id="{00000000-0008-0000-0000-00001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39</xdr:row>
          <xdr:rowOff>0</xdr:rowOff>
        </xdr:from>
        <xdr:to>
          <xdr:col>5</xdr:col>
          <xdr:colOff>333375</xdr:colOff>
          <xdr:row>40</xdr:row>
          <xdr:rowOff>9525</xdr:rowOff>
        </xdr:to>
        <xdr:sp macro="" textlink="">
          <xdr:nvSpPr>
            <xdr:cNvPr id="13334" name="Check Box 22" hidden="1">
              <a:extLst>
                <a:ext uri="{63B3BB69-23CF-44E3-9099-C40C66FF867C}">
                  <a14:compatExt spid="_x0000_s13334"/>
                </a:ext>
                <a:ext uri="{FF2B5EF4-FFF2-40B4-BE49-F238E27FC236}">
                  <a16:creationId xmlns:a16="http://schemas.microsoft.com/office/drawing/2014/main" id="{00000000-0008-0000-0000-00001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36</xdr:row>
          <xdr:rowOff>0</xdr:rowOff>
        </xdr:from>
        <xdr:to>
          <xdr:col>5</xdr:col>
          <xdr:colOff>285750</xdr:colOff>
          <xdr:row>37</xdr:row>
          <xdr:rowOff>19050</xdr:rowOff>
        </xdr:to>
        <xdr:sp macro="" textlink="">
          <xdr:nvSpPr>
            <xdr:cNvPr id="13335" name="Check Box 23" hidden="1">
              <a:extLst>
                <a:ext uri="{63B3BB69-23CF-44E3-9099-C40C66FF867C}">
                  <a14:compatExt spid="_x0000_s13335"/>
                </a:ext>
                <a:ext uri="{FF2B5EF4-FFF2-40B4-BE49-F238E27FC236}">
                  <a16:creationId xmlns:a16="http://schemas.microsoft.com/office/drawing/2014/main" id="{00000000-0008-0000-0000-00001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38</xdr:row>
          <xdr:rowOff>0</xdr:rowOff>
        </xdr:from>
        <xdr:to>
          <xdr:col>5</xdr:col>
          <xdr:colOff>304800</xdr:colOff>
          <xdr:row>39</xdr:row>
          <xdr:rowOff>9525</xdr:rowOff>
        </xdr:to>
        <xdr:sp macro="" textlink="">
          <xdr:nvSpPr>
            <xdr:cNvPr id="13336" name="Check Box 24" hidden="1">
              <a:extLst>
                <a:ext uri="{63B3BB69-23CF-44E3-9099-C40C66FF867C}">
                  <a14:compatExt spid="_x0000_s13336"/>
                </a:ext>
                <a:ext uri="{FF2B5EF4-FFF2-40B4-BE49-F238E27FC236}">
                  <a16:creationId xmlns:a16="http://schemas.microsoft.com/office/drawing/2014/main" id="{00000000-0008-0000-0000-00001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39</xdr:row>
          <xdr:rowOff>180975</xdr:rowOff>
        </xdr:from>
        <xdr:to>
          <xdr:col>5</xdr:col>
          <xdr:colOff>295275</xdr:colOff>
          <xdr:row>41</xdr:row>
          <xdr:rowOff>9525</xdr:rowOff>
        </xdr:to>
        <xdr:sp macro="" textlink="">
          <xdr:nvSpPr>
            <xdr:cNvPr id="13337" name="Check Box 25" hidden="1">
              <a:extLst>
                <a:ext uri="{63B3BB69-23CF-44E3-9099-C40C66FF867C}">
                  <a14:compatExt spid="_x0000_s13337"/>
                </a:ext>
                <a:ext uri="{FF2B5EF4-FFF2-40B4-BE49-F238E27FC236}">
                  <a16:creationId xmlns:a16="http://schemas.microsoft.com/office/drawing/2014/main" id="{00000000-0008-0000-0000-00001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30</xdr:row>
          <xdr:rowOff>9525</xdr:rowOff>
        </xdr:from>
        <xdr:to>
          <xdr:col>5</xdr:col>
          <xdr:colOff>285750</xdr:colOff>
          <xdr:row>30</xdr:row>
          <xdr:rowOff>190500</xdr:rowOff>
        </xdr:to>
        <xdr:sp macro="" textlink="">
          <xdr:nvSpPr>
            <xdr:cNvPr id="13338" name="Check Box 26" hidden="1">
              <a:extLst>
                <a:ext uri="{63B3BB69-23CF-44E3-9099-C40C66FF867C}">
                  <a14:compatExt spid="_x0000_s13338"/>
                </a:ext>
                <a:ext uri="{FF2B5EF4-FFF2-40B4-BE49-F238E27FC236}">
                  <a16:creationId xmlns:a16="http://schemas.microsoft.com/office/drawing/2014/main" id="{00000000-0008-0000-0000-00001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43</xdr:row>
          <xdr:rowOff>161925</xdr:rowOff>
        </xdr:from>
        <xdr:to>
          <xdr:col>6</xdr:col>
          <xdr:colOff>0</xdr:colOff>
          <xdr:row>45</xdr:row>
          <xdr:rowOff>38100</xdr:rowOff>
        </xdr:to>
        <xdr:sp macro="" textlink="">
          <xdr:nvSpPr>
            <xdr:cNvPr id="13339" name="Check Box 27" hidden="1">
              <a:extLst>
                <a:ext uri="{63B3BB69-23CF-44E3-9099-C40C66FF867C}">
                  <a14:compatExt spid="_x0000_s13339"/>
                </a:ext>
                <a:ext uri="{FF2B5EF4-FFF2-40B4-BE49-F238E27FC236}">
                  <a16:creationId xmlns:a16="http://schemas.microsoft.com/office/drawing/2014/main" id="{00000000-0008-0000-0000-00001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45</xdr:row>
          <xdr:rowOff>0</xdr:rowOff>
        </xdr:from>
        <xdr:to>
          <xdr:col>5</xdr:col>
          <xdr:colOff>295275</xdr:colOff>
          <xdr:row>46</xdr:row>
          <xdr:rowOff>0</xdr:rowOff>
        </xdr:to>
        <xdr:sp macro="" textlink="">
          <xdr:nvSpPr>
            <xdr:cNvPr id="13340" name="Check Box 28" hidden="1">
              <a:extLst>
                <a:ext uri="{63B3BB69-23CF-44E3-9099-C40C66FF867C}">
                  <a14:compatExt spid="_x0000_s13340"/>
                </a:ext>
                <a:ext uri="{FF2B5EF4-FFF2-40B4-BE49-F238E27FC236}">
                  <a16:creationId xmlns:a16="http://schemas.microsoft.com/office/drawing/2014/main" id="{00000000-0008-0000-0000-00001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42</xdr:row>
          <xdr:rowOff>238125</xdr:rowOff>
        </xdr:from>
        <xdr:to>
          <xdr:col>5</xdr:col>
          <xdr:colOff>361950</xdr:colOff>
          <xdr:row>44</xdr:row>
          <xdr:rowOff>0</xdr:rowOff>
        </xdr:to>
        <xdr:sp macro="" textlink="">
          <xdr:nvSpPr>
            <xdr:cNvPr id="13341" name="Check Box 29" hidden="1">
              <a:extLst>
                <a:ext uri="{63B3BB69-23CF-44E3-9099-C40C66FF867C}">
                  <a14:compatExt spid="_x0000_s13341"/>
                </a:ext>
                <a:ext uri="{FF2B5EF4-FFF2-40B4-BE49-F238E27FC236}">
                  <a16:creationId xmlns:a16="http://schemas.microsoft.com/office/drawing/2014/main" id="{00000000-0008-0000-0000-00001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32</xdr:row>
          <xdr:rowOff>180975</xdr:rowOff>
        </xdr:from>
        <xdr:to>
          <xdr:col>5</xdr:col>
          <xdr:colOff>323850</xdr:colOff>
          <xdr:row>34</xdr:row>
          <xdr:rowOff>9525</xdr:rowOff>
        </xdr:to>
        <xdr:sp macro="" textlink="">
          <xdr:nvSpPr>
            <xdr:cNvPr id="13342" name="Check Box 30" hidden="1">
              <a:extLst>
                <a:ext uri="{63B3BB69-23CF-44E3-9099-C40C66FF867C}">
                  <a14:compatExt spid="_x0000_s13342"/>
                </a:ext>
                <a:ext uri="{FF2B5EF4-FFF2-40B4-BE49-F238E27FC236}">
                  <a16:creationId xmlns:a16="http://schemas.microsoft.com/office/drawing/2014/main" id="{00000000-0008-0000-0000-00001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37</xdr:row>
          <xdr:rowOff>0</xdr:rowOff>
        </xdr:from>
        <xdr:to>
          <xdr:col>5</xdr:col>
          <xdr:colOff>323850</xdr:colOff>
          <xdr:row>38</xdr:row>
          <xdr:rowOff>0</xdr:rowOff>
        </xdr:to>
        <xdr:sp macro="" textlink="">
          <xdr:nvSpPr>
            <xdr:cNvPr id="13343" name="Check Box 31" hidden="1">
              <a:extLst>
                <a:ext uri="{63B3BB69-23CF-44E3-9099-C40C66FF867C}">
                  <a14:compatExt spid="_x0000_s13343"/>
                </a:ext>
                <a:ext uri="{FF2B5EF4-FFF2-40B4-BE49-F238E27FC236}">
                  <a16:creationId xmlns:a16="http://schemas.microsoft.com/office/drawing/2014/main" id="{00000000-0008-0000-0000-00001F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35</xdr:row>
          <xdr:rowOff>0</xdr:rowOff>
        </xdr:from>
        <xdr:to>
          <xdr:col>5</xdr:col>
          <xdr:colOff>342900</xdr:colOff>
          <xdr:row>36</xdr:row>
          <xdr:rowOff>28575</xdr:rowOff>
        </xdr:to>
        <xdr:sp macro="" textlink="">
          <xdr:nvSpPr>
            <xdr:cNvPr id="13344" name="Check Box 32" hidden="1">
              <a:extLst>
                <a:ext uri="{63B3BB69-23CF-44E3-9099-C40C66FF867C}">
                  <a14:compatExt spid="_x0000_s13344"/>
                </a:ext>
                <a:ext uri="{FF2B5EF4-FFF2-40B4-BE49-F238E27FC236}">
                  <a16:creationId xmlns:a16="http://schemas.microsoft.com/office/drawing/2014/main" id="{00000000-0008-0000-0000-00002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48</xdr:row>
          <xdr:rowOff>266700</xdr:rowOff>
        </xdr:from>
        <xdr:to>
          <xdr:col>5</xdr:col>
          <xdr:colOff>342900</xdr:colOff>
          <xdr:row>49</xdr:row>
          <xdr:rowOff>198782</xdr:rowOff>
        </xdr:to>
        <xdr:sp macro="" textlink="">
          <xdr:nvSpPr>
            <xdr:cNvPr id="13345" name="Check Box 33" hidden="1">
              <a:extLst>
                <a:ext uri="{63B3BB69-23CF-44E3-9099-C40C66FF867C}">
                  <a14:compatExt spid="_x0000_s13345"/>
                </a:ext>
                <a:ext uri="{FF2B5EF4-FFF2-40B4-BE49-F238E27FC236}">
                  <a16:creationId xmlns:a16="http://schemas.microsoft.com/office/drawing/2014/main" id="{00000000-0008-0000-0000-00002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49</xdr:row>
          <xdr:rowOff>142875</xdr:rowOff>
        </xdr:from>
        <xdr:to>
          <xdr:col>6</xdr:col>
          <xdr:colOff>0</xdr:colOff>
          <xdr:row>51</xdr:row>
          <xdr:rowOff>19050</xdr:rowOff>
        </xdr:to>
        <xdr:sp macro="" textlink="">
          <xdr:nvSpPr>
            <xdr:cNvPr id="13346" name="Check Box 34" hidden="1">
              <a:extLst>
                <a:ext uri="{63B3BB69-23CF-44E3-9099-C40C66FF867C}">
                  <a14:compatExt spid="_x0000_s13346"/>
                </a:ext>
                <a:ext uri="{FF2B5EF4-FFF2-40B4-BE49-F238E27FC236}">
                  <a16:creationId xmlns:a16="http://schemas.microsoft.com/office/drawing/2014/main" id="{00000000-0008-0000-0000-00002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51</xdr:row>
          <xdr:rowOff>0</xdr:rowOff>
        </xdr:from>
        <xdr:to>
          <xdr:col>5</xdr:col>
          <xdr:colOff>342900</xdr:colOff>
          <xdr:row>52</xdr:row>
          <xdr:rowOff>0</xdr:rowOff>
        </xdr:to>
        <xdr:sp macro="" textlink="">
          <xdr:nvSpPr>
            <xdr:cNvPr id="13347" name="Check Box 35" hidden="1">
              <a:extLst>
                <a:ext uri="{63B3BB69-23CF-44E3-9099-C40C66FF867C}">
                  <a14:compatExt spid="_x0000_s13347"/>
                </a:ext>
                <a:ext uri="{FF2B5EF4-FFF2-40B4-BE49-F238E27FC236}">
                  <a16:creationId xmlns:a16="http://schemas.microsoft.com/office/drawing/2014/main" id="{00000000-0008-0000-0000-00002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52</xdr:row>
          <xdr:rowOff>0</xdr:rowOff>
        </xdr:from>
        <xdr:to>
          <xdr:col>5</xdr:col>
          <xdr:colOff>361950</xdr:colOff>
          <xdr:row>53</xdr:row>
          <xdr:rowOff>0</xdr:rowOff>
        </xdr:to>
        <xdr:sp macro="" textlink="">
          <xdr:nvSpPr>
            <xdr:cNvPr id="13348" name="Check Box 36" hidden="1">
              <a:extLst>
                <a:ext uri="{63B3BB69-23CF-44E3-9099-C40C66FF867C}">
                  <a14:compatExt spid="_x0000_s13348"/>
                </a:ext>
                <a:ext uri="{FF2B5EF4-FFF2-40B4-BE49-F238E27FC236}">
                  <a16:creationId xmlns:a16="http://schemas.microsoft.com/office/drawing/2014/main" id="{00000000-0008-0000-0000-00002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53</xdr:row>
          <xdr:rowOff>0</xdr:rowOff>
        </xdr:from>
        <xdr:to>
          <xdr:col>6</xdr:col>
          <xdr:colOff>0</xdr:colOff>
          <xdr:row>54</xdr:row>
          <xdr:rowOff>0</xdr:rowOff>
        </xdr:to>
        <xdr:sp macro="" textlink="">
          <xdr:nvSpPr>
            <xdr:cNvPr id="13349" name="Check Box 37" hidden="1">
              <a:extLst>
                <a:ext uri="{63B3BB69-23CF-44E3-9099-C40C66FF867C}">
                  <a14:compatExt spid="_x0000_s13349"/>
                </a:ext>
                <a:ext uri="{FF2B5EF4-FFF2-40B4-BE49-F238E27FC236}">
                  <a16:creationId xmlns:a16="http://schemas.microsoft.com/office/drawing/2014/main" id="{00000000-0008-0000-0000-00002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54</xdr:row>
          <xdr:rowOff>0</xdr:rowOff>
        </xdr:from>
        <xdr:to>
          <xdr:col>5</xdr:col>
          <xdr:colOff>361950</xdr:colOff>
          <xdr:row>55</xdr:row>
          <xdr:rowOff>0</xdr:rowOff>
        </xdr:to>
        <xdr:sp macro="" textlink="">
          <xdr:nvSpPr>
            <xdr:cNvPr id="13350" name="Check Box 38" hidden="1">
              <a:extLst>
                <a:ext uri="{63B3BB69-23CF-44E3-9099-C40C66FF867C}">
                  <a14:compatExt spid="_x0000_s13350"/>
                </a:ext>
                <a:ext uri="{FF2B5EF4-FFF2-40B4-BE49-F238E27FC236}">
                  <a16:creationId xmlns:a16="http://schemas.microsoft.com/office/drawing/2014/main" id="{00000000-0008-0000-0000-00002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55</xdr:row>
          <xdr:rowOff>0</xdr:rowOff>
        </xdr:from>
        <xdr:to>
          <xdr:col>6</xdr:col>
          <xdr:colOff>0</xdr:colOff>
          <xdr:row>56</xdr:row>
          <xdr:rowOff>0</xdr:rowOff>
        </xdr:to>
        <xdr:sp macro="" textlink="">
          <xdr:nvSpPr>
            <xdr:cNvPr id="13351" name="Check Box 39" hidden="1">
              <a:extLst>
                <a:ext uri="{63B3BB69-23CF-44E3-9099-C40C66FF867C}">
                  <a14:compatExt spid="_x0000_s13351"/>
                </a:ext>
                <a:ext uri="{FF2B5EF4-FFF2-40B4-BE49-F238E27FC236}">
                  <a16:creationId xmlns:a16="http://schemas.microsoft.com/office/drawing/2014/main" id="{00000000-0008-0000-0000-00002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55</xdr:row>
          <xdr:rowOff>190500</xdr:rowOff>
        </xdr:from>
        <xdr:to>
          <xdr:col>5</xdr:col>
          <xdr:colOff>342900</xdr:colOff>
          <xdr:row>57</xdr:row>
          <xdr:rowOff>57150</xdr:rowOff>
        </xdr:to>
        <xdr:sp macro="" textlink="">
          <xdr:nvSpPr>
            <xdr:cNvPr id="13352" name="Check Box 40" hidden="1">
              <a:extLst>
                <a:ext uri="{63B3BB69-23CF-44E3-9099-C40C66FF867C}">
                  <a14:compatExt spid="_x0000_s13352"/>
                </a:ext>
                <a:ext uri="{FF2B5EF4-FFF2-40B4-BE49-F238E27FC236}">
                  <a16:creationId xmlns:a16="http://schemas.microsoft.com/office/drawing/2014/main" id="{00000000-0008-0000-0000-00002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58</xdr:row>
          <xdr:rowOff>247650</xdr:rowOff>
        </xdr:from>
        <xdr:to>
          <xdr:col>5</xdr:col>
          <xdr:colOff>342900</xdr:colOff>
          <xdr:row>60</xdr:row>
          <xdr:rowOff>0</xdr:rowOff>
        </xdr:to>
        <xdr:sp macro="" textlink="">
          <xdr:nvSpPr>
            <xdr:cNvPr id="13353" name="Check Box 41" hidden="1">
              <a:extLst>
                <a:ext uri="{63B3BB69-23CF-44E3-9099-C40C66FF867C}">
                  <a14:compatExt spid="_x0000_s13353"/>
                </a:ext>
                <a:ext uri="{FF2B5EF4-FFF2-40B4-BE49-F238E27FC236}">
                  <a16:creationId xmlns:a16="http://schemas.microsoft.com/office/drawing/2014/main" id="{00000000-0008-0000-0000-00002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59</xdr:row>
          <xdr:rowOff>152400</xdr:rowOff>
        </xdr:from>
        <xdr:to>
          <xdr:col>5</xdr:col>
          <xdr:colOff>314325</xdr:colOff>
          <xdr:row>61</xdr:row>
          <xdr:rowOff>28575</xdr:rowOff>
        </xdr:to>
        <xdr:sp macro="" textlink="">
          <xdr:nvSpPr>
            <xdr:cNvPr id="13354" name="Check Box 42" hidden="1">
              <a:extLst>
                <a:ext uri="{63B3BB69-23CF-44E3-9099-C40C66FF867C}">
                  <a14:compatExt spid="_x0000_s13354"/>
                </a:ext>
                <a:ext uri="{FF2B5EF4-FFF2-40B4-BE49-F238E27FC236}">
                  <a16:creationId xmlns:a16="http://schemas.microsoft.com/office/drawing/2014/main" id="{00000000-0008-0000-0000-00002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60</xdr:row>
          <xdr:rowOff>171450</xdr:rowOff>
        </xdr:from>
        <xdr:to>
          <xdr:col>5</xdr:col>
          <xdr:colOff>342900</xdr:colOff>
          <xdr:row>62</xdr:row>
          <xdr:rowOff>38100</xdr:rowOff>
        </xdr:to>
        <xdr:sp macro="" textlink="">
          <xdr:nvSpPr>
            <xdr:cNvPr id="13355" name="Check Box 43" hidden="1">
              <a:extLst>
                <a:ext uri="{63B3BB69-23CF-44E3-9099-C40C66FF867C}">
                  <a14:compatExt spid="_x0000_s13355"/>
                </a:ext>
                <a:ext uri="{FF2B5EF4-FFF2-40B4-BE49-F238E27FC236}">
                  <a16:creationId xmlns:a16="http://schemas.microsoft.com/office/drawing/2014/main" id="{00000000-0008-0000-0000-00002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61</xdr:row>
          <xdr:rowOff>190500</xdr:rowOff>
        </xdr:from>
        <xdr:to>
          <xdr:col>7</xdr:col>
          <xdr:colOff>19050</xdr:colOff>
          <xdr:row>63</xdr:row>
          <xdr:rowOff>0</xdr:rowOff>
        </xdr:to>
        <xdr:sp macro="" textlink="">
          <xdr:nvSpPr>
            <xdr:cNvPr id="13356" name="Check Box 44" hidden="1">
              <a:extLst>
                <a:ext uri="{63B3BB69-23CF-44E3-9099-C40C66FF867C}">
                  <a14:compatExt spid="_x0000_s13356"/>
                </a:ext>
                <a:ext uri="{FF2B5EF4-FFF2-40B4-BE49-F238E27FC236}">
                  <a16:creationId xmlns:a16="http://schemas.microsoft.com/office/drawing/2014/main" id="{00000000-0008-0000-0000-00002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1933575</xdr:colOff>
          <xdr:row>9</xdr:row>
          <xdr:rowOff>247650</xdr:rowOff>
        </xdr:from>
        <xdr:to>
          <xdr:col>8</xdr:col>
          <xdr:colOff>2533650</xdr:colOff>
          <xdr:row>11</xdr:row>
          <xdr:rowOff>38100</xdr:rowOff>
        </xdr:to>
        <xdr:sp macro="" textlink="">
          <xdr:nvSpPr>
            <xdr:cNvPr id="13359" name="Check Box 47" hidden="1">
              <a:extLst>
                <a:ext uri="{63B3BB69-23CF-44E3-9099-C40C66FF867C}">
                  <a14:compatExt spid="_x0000_s13359"/>
                </a:ext>
                <a:ext uri="{FF2B5EF4-FFF2-40B4-BE49-F238E27FC236}">
                  <a16:creationId xmlns:a16="http://schemas.microsoft.com/office/drawing/2014/main" id="{00000000-0008-0000-0000-00002F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(ALEKS 80%) or (C- in MATH 2312)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1933575</xdr:colOff>
          <xdr:row>10</xdr:row>
          <xdr:rowOff>133350</xdr:rowOff>
        </xdr:from>
        <xdr:to>
          <xdr:col>8</xdr:col>
          <xdr:colOff>2486025</xdr:colOff>
          <xdr:row>12</xdr:row>
          <xdr:rowOff>19050</xdr:rowOff>
        </xdr:to>
        <xdr:sp macro="" textlink="">
          <xdr:nvSpPr>
            <xdr:cNvPr id="13360" name="Check Box 48" hidden="1">
              <a:extLst>
                <a:ext uri="{63B3BB69-23CF-44E3-9099-C40C66FF867C}">
                  <a14:compatExt spid="_x0000_s13360"/>
                </a:ext>
                <a:ext uri="{FF2B5EF4-FFF2-40B4-BE49-F238E27FC236}">
                  <a16:creationId xmlns:a16="http://schemas.microsoft.com/office/drawing/2014/main" id="{00000000-0008-0000-0000-00003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 ALEKS 85%) or (C- in MATH 2312)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19</xdr:row>
          <xdr:rowOff>190500</xdr:rowOff>
        </xdr:from>
        <xdr:to>
          <xdr:col>5</xdr:col>
          <xdr:colOff>371475</xdr:colOff>
          <xdr:row>21</xdr:row>
          <xdr:rowOff>9525</xdr:rowOff>
        </xdr:to>
        <xdr:sp macro="" textlink="">
          <xdr:nvSpPr>
            <xdr:cNvPr id="13362" name="Check Box 50" hidden="1">
              <a:extLst>
                <a:ext uri="{63B3BB69-23CF-44E3-9099-C40C66FF867C}">
                  <a14:compatExt spid="_x0000_s13362"/>
                </a:ext>
                <a:ext uri="{FF2B5EF4-FFF2-40B4-BE49-F238E27FC236}">
                  <a16:creationId xmlns:a16="http://schemas.microsoft.com/office/drawing/2014/main" id="{00000000-0008-0000-0000-00003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13</xdr:row>
          <xdr:rowOff>180975</xdr:rowOff>
        </xdr:from>
        <xdr:to>
          <xdr:col>5</xdr:col>
          <xdr:colOff>371475</xdr:colOff>
          <xdr:row>15</xdr:row>
          <xdr:rowOff>0</xdr:rowOff>
        </xdr:to>
        <xdr:sp macro="" textlink="">
          <xdr:nvSpPr>
            <xdr:cNvPr id="13366" name="Check Box 54" hidden="1">
              <a:extLst>
                <a:ext uri="{63B3BB69-23CF-44E3-9099-C40C66FF867C}">
                  <a14:compatExt spid="_x0000_s13366"/>
                </a:ext>
                <a:ext uri="{FF2B5EF4-FFF2-40B4-BE49-F238E27FC236}">
                  <a16:creationId xmlns:a16="http://schemas.microsoft.com/office/drawing/2014/main" id="{00000000-0008-0000-0000-00003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12</xdr:row>
          <xdr:rowOff>180975</xdr:rowOff>
        </xdr:from>
        <xdr:to>
          <xdr:col>6</xdr:col>
          <xdr:colOff>0</xdr:colOff>
          <xdr:row>14</xdr:row>
          <xdr:rowOff>0</xdr:rowOff>
        </xdr:to>
        <xdr:sp macro="" textlink="">
          <xdr:nvSpPr>
            <xdr:cNvPr id="13367" name="Check Box 55" hidden="1">
              <a:extLst>
                <a:ext uri="{63B3BB69-23CF-44E3-9099-C40C66FF867C}">
                  <a14:compatExt spid="_x0000_s13367"/>
                </a:ext>
                <a:ext uri="{FF2B5EF4-FFF2-40B4-BE49-F238E27FC236}">
                  <a16:creationId xmlns:a16="http://schemas.microsoft.com/office/drawing/2014/main" id="{00000000-0008-0000-0000-00003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45</xdr:row>
          <xdr:rowOff>0</xdr:rowOff>
        </xdr:from>
        <xdr:to>
          <xdr:col>5</xdr:col>
          <xdr:colOff>295275</xdr:colOff>
          <xdr:row>46</xdr:row>
          <xdr:rowOff>0</xdr:rowOff>
        </xdr:to>
        <xdr:sp macro="" textlink="">
          <xdr:nvSpPr>
            <xdr:cNvPr id="13375" name="Check Box 63" hidden="1">
              <a:extLst>
                <a:ext uri="{63B3BB69-23CF-44E3-9099-C40C66FF867C}">
                  <a14:compatExt spid="_x0000_s13375"/>
                </a:ext>
                <a:ext uri="{FF2B5EF4-FFF2-40B4-BE49-F238E27FC236}">
                  <a16:creationId xmlns:a16="http://schemas.microsoft.com/office/drawing/2014/main" id="{00000000-0008-0000-0000-00003F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45</xdr:row>
          <xdr:rowOff>0</xdr:rowOff>
        </xdr:from>
        <xdr:to>
          <xdr:col>5</xdr:col>
          <xdr:colOff>295275</xdr:colOff>
          <xdr:row>46</xdr:row>
          <xdr:rowOff>0</xdr:rowOff>
        </xdr:to>
        <xdr:sp macro="" textlink="">
          <xdr:nvSpPr>
            <xdr:cNvPr id="13376" name="Check Box 64" hidden="1">
              <a:extLst>
                <a:ext uri="{63B3BB69-23CF-44E3-9099-C40C66FF867C}">
                  <a14:compatExt spid="_x0000_s13376"/>
                </a:ext>
                <a:ext uri="{FF2B5EF4-FFF2-40B4-BE49-F238E27FC236}">
                  <a16:creationId xmlns:a16="http://schemas.microsoft.com/office/drawing/2014/main" id="{00000000-0008-0000-0000-00004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45</xdr:row>
          <xdr:rowOff>0</xdr:rowOff>
        </xdr:from>
        <xdr:to>
          <xdr:col>5</xdr:col>
          <xdr:colOff>295275</xdr:colOff>
          <xdr:row>46</xdr:row>
          <xdr:rowOff>0</xdr:rowOff>
        </xdr:to>
        <xdr:sp macro="" textlink="">
          <xdr:nvSpPr>
            <xdr:cNvPr id="13377" name="Check Box 65" hidden="1">
              <a:extLst>
                <a:ext uri="{63B3BB69-23CF-44E3-9099-C40C66FF867C}">
                  <a14:compatExt spid="_x0000_s13377"/>
                </a:ext>
                <a:ext uri="{FF2B5EF4-FFF2-40B4-BE49-F238E27FC236}">
                  <a16:creationId xmlns:a16="http://schemas.microsoft.com/office/drawing/2014/main" id="{00000000-0008-0000-0000-00004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46</xdr:row>
          <xdr:rowOff>0</xdr:rowOff>
        </xdr:from>
        <xdr:to>
          <xdr:col>5</xdr:col>
          <xdr:colOff>295275</xdr:colOff>
          <xdr:row>47</xdr:row>
          <xdr:rowOff>0</xdr:rowOff>
        </xdr:to>
        <xdr:sp macro="" textlink="">
          <xdr:nvSpPr>
            <xdr:cNvPr id="13379" name="Check Box 67" hidden="1">
              <a:extLst>
                <a:ext uri="{63B3BB69-23CF-44E3-9099-C40C66FF867C}">
                  <a14:compatExt spid="_x0000_s13379"/>
                </a:ext>
                <a:ext uri="{FF2B5EF4-FFF2-40B4-BE49-F238E27FC236}">
                  <a16:creationId xmlns:a16="http://schemas.microsoft.com/office/drawing/2014/main" id="{00000000-0008-0000-0000-00004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47</xdr:row>
          <xdr:rowOff>9525</xdr:rowOff>
        </xdr:from>
        <xdr:to>
          <xdr:col>8</xdr:col>
          <xdr:colOff>2238375</xdr:colOff>
          <xdr:row>49</xdr:row>
          <xdr:rowOff>142875</xdr:rowOff>
        </xdr:to>
        <xdr:sp macro="" textlink="">
          <xdr:nvSpPr>
            <xdr:cNvPr id="13380" name="Check Box 68" hidden="1">
              <a:extLst>
                <a:ext uri="{63B3BB69-23CF-44E3-9099-C40C66FF867C}">
                  <a14:compatExt spid="_x0000_s13380"/>
                </a:ext>
                <a:ext uri="{FF2B5EF4-FFF2-40B4-BE49-F238E27FC236}">
                  <a16:creationId xmlns:a16="http://schemas.microsoft.com/office/drawing/2014/main" id="{00000000-0008-0000-0000-00004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ADVISOR CHECK: Student is Core Complete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209550</xdr:colOff>
      <xdr:row>3</xdr:row>
      <xdr:rowOff>190500</xdr:rowOff>
    </xdr:from>
    <xdr:to>
      <xdr:col>8</xdr:col>
      <xdr:colOff>2129790</xdr:colOff>
      <xdr:row>5</xdr:row>
      <xdr:rowOff>253365</xdr:rowOff>
    </xdr:to>
    <xdr:sp macro="[0]!ClearCheckBoxes" textlink="">
      <xdr:nvSpPr>
        <xdr:cNvPr id="2" name="Flowchart: Alternate Process 1">
          <a:extLst>
            <a:ext uri="{FF2B5EF4-FFF2-40B4-BE49-F238E27FC236}">
              <a16:creationId xmlns:a16="http://schemas.microsoft.com/office/drawing/2014/main" id="{00000000-0008-0000-0000-000002000000}"/>
            </a:ext>
            <a:ext uri="{147F2762-F138-4A5C-976F-8EAC2B608ADB}">
              <a16:predDERef xmlns:a16="http://schemas.microsoft.com/office/drawing/2014/main" pred="{00000000-0008-0000-0200-000003000000}"/>
            </a:ext>
          </a:extLst>
        </xdr:cNvPr>
        <xdr:cNvSpPr/>
      </xdr:nvSpPr>
      <xdr:spPr>
        <a:xfrm>
          <a:off x="8886825" y="971550"/>
          <a:ext cx="1920240" cy="548640"/>
        </a:xfrm>
        <a:prstGeom prst="flowChartAlternateProcess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0">
              <a:solidFill>
                <a:schemeClr val="bg1"/>
              </a:solidFill>
              <a:latin typeface="+mn-lt"/>
              <a:ea typeface="+mn-lt"/>
              <a:cs typeface="+mn-lt"/>
            </a:rPr>
            <a:t>Clear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0</xdr:row>
      <xdr:rowOff>0</xdr:rowOff>
    </xdr:from>
    <xdr:to>
      <xdr:col>5</xdr:col>
      <xdr:colOff>152400</xdr:colOff>
      <xdr:row>0</xdr:row>
      <xdr:rowOff>152400</xdr:rowOff>
    </xdr:to>
    <xdr:sp macro="" textlink="">
      <xdr:nvSpPr>
        <xdr:cNvPr id="17409" name="AutoShape 1" descr="Transferred">
          <a:extLst>
            <a:ext uri="{FF2B5EF4-FFF2-40B4-BE49-F238E27FC236}">
              <a16:creationId xmlns:a16="http://schemas.microsoft.com/office/drawing/2014/main" id="{00000000-0008-0000-0200-00000144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</xdr:row>
      <xdr:rowOff>0</xdr:rowOff>
    </xdr:from>
    <xdr:to>
      <xdr:col>5</xdr:col>
      <xdr:colOff>152400</xdr:colOff>
      <xdr:row>1</xdr:row>
      <xdr:rowOff>152400</xdr:rowOff>
    </xdr:to>
    <xdr:sp macro="" textlink="">
      <xdr:nvSpPr>
        <xdr:cNvPr id="17410" name="AutoShape 2" descr="Taken">
          <a:extLst>
            <a:ext uri="{FF2B5EF4-FFF2-40B4-BE49-F238E27FC236}">
              <a16:creationId xmlns:a16="http://schemas.microsoft.com/office/drawing/2014/main" id="{00000000-0008-0000-0200-00000244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96202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</xdr:row>
      <xdr:rowOff>0</xdr:rowOff>
    </xdr:from>
    <xdr:to>
      <xdr:col>5</xdr:col>
      <xdr:colOff>152400</xdr:colOff>
      <xdr:row>2</xdr:row>
      <xdr:rowOff>152400</xdr:rowOff>
    </xdr:to>
    <xdr:sp macro="" textlink="">
      <xdr:nvSpPr>
        <xdr:cNvPr id="17411" name="AutoShape 3" descr="Taken">
          <a:extLst>
            <a:ext uri="{FF2B5EF4-FFF2-40B4-BE49-F238E27FC236}">
              <a16:creationId xmlns:a16="http://schemas.microsoft.com/office/drawing/2014/main" id="{00000000-0008-0000-0200-00000344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335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</xdr:row>
      <xdr:rowOff>0</xdr:rowOff>
    </xdr:from>
    <xdr:to>
      <xdr:col>5</xdr:col>
      <xdr:colOff>152400</xdr:colOff>
      <xdr:row>3</xdr:row>
      <xdr:rowOff>152400</xdr:rowOff>
    </xdr:to>
    <xdr:sp macro="" textlink="">
      <xdr:nvSpPr>
        <xdr:cNvPr id="17412" name="AutoShape 4" descr="Taken">
          <a:extLst>
            <a:ext uri="{FF2B5EF4-FFF2-40B4-BE49-F238E27FC236}">
              <a16:creationId xmlns:a16="http://schemas.microsoft.com/office/drawing/2014/main" id="{00000000-0008-0000-0200-00000444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6955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</xdr:row>
      <xdr:rowOff>0</xdr:rowOff>
    </xdr:from>
    <xdr:to>
      <xdr:col>5</xdr:col>
      <xdr:colOff>152400</xdr:colOff>
      <xdr:row>4</xdr:row>
      <xdr:rowOff>152400</xdr:rowOff>
    </xdr:to>
    <xdr:sp macro="" textlink="">
      <xdr:nvSpPr>
        <xdr:cNvPr id="17413" name="AutoShape 5" descr="Taken">
          <a:extLst>
            <a:ext uri="{FF2B5EF4-FFF2-40B4-BE49-F238E27FC236}">
              <a16:creationId xmlns:a16="http://schemas.microsoft.com/office/drawing/2014/main" id="{00000000-0008-0000-0200-00000544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38481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</xdr:row>
      <xdr:rowOff>0</xdr:rowOff>
    </xdr:from>
    <xdr:to>
      <xdr:col>5</xdr:col>
      <xdr:colOff>152400</xdr:colOff>
      <xdr:row>4</xdr:row>
      <xdr:rowOff>152400</xdr:rowOff>
    </xdr:to>
    <xdr:sp macro="" textlink="">
      <xdr:nvSpPr>
        <xdr:cNvPr id="17414" name="AutoShape 6" descr="Taken">
          <a:extLst>
            <a:ext uri="{FF2B5EF4-FFF2-40B4-BE49-F238E27FC236}">
              <a16:creationId xmlns:a16="http://schemas.microsoft.com/office/drawing/2014/main" id="{00000000-0008-0000-0200-00000644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461962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152400</xdr:colOff>
      <xdr:row>8</xdr:row>
      <xdr:rowOff>152400</xdr:rowOff>
    </xdr:to>
    <xdr:sp macro="" textlink="">
      <xdr:nvSpPr>
        <xdr:cNvPr id="17415" name="AutoShape 7" descr="Taken">
          <a:extLst>
            <a:ext uri="{FF2B5EF4-FFF2-40B4-BE49-F238E27FC236}">
              <a16:creationId xmlns:a16="http://schemas.microsoft.com/office/drawing/2014/main" id="{00000000-0008-0000-0200-00000744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53911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152400</xdr:colOff>
      <xdr:row>9</xdr:row>
      <xdr:rowOff>152400</xdr:rowOff>
    </xdr:to>
    <xdr:sp macro="" textlink="">
      <xdr:nvSpPr>
        <xdr:cNvPr id="17416" name="AutoShape 8" descr="In Progress">
          <a:extLst>
            <a:ext uri="{FF2B5EF4-FFF2-40B4-BE49-F238E27FC236}">
              <a16:creationId xmlns:a16="http://schemas.microsoft.com/office/drawing/2014/main" id="{00000000-0008-0000-0200-00000844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63531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</xdr:row>
      <xdr:rowOff>0</xdr:rowOff>
    </xdr:from>
    <xdr:to>
      <xdr:col>5</xdr:col>
      <xdr:colOff>152400</xdr:colOff>
      <xdr:row>10</xdr:row>
      <xdr:rowOff>152400</xdr:rowOff>
    </xdr:to>
    <xdr:sp macro="" textlink="">
      <xdr:nvSpPr>
        <xdr:cNvPr id="17417" name="AutoShape 9" descr="In Progress">
          <a:extLst>
            <a:ext uri="{FF2B5EF4-FFF2-40B4-BE49-F238E27FC236}">
              <a16:creationId xmlns:a16="http://schemas.microsoft.com/office/drawing/2014/main" id="{00000000-0008-0000-0200-00000944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1247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</xdr:row>
      <xdr:rowOff>0</xdr:rowOff>
    </xdr:from>
    <xdr:to>
      <xdr:col>5</xdr:col>
      <xdr:colOff>152400</xdr:colOff>
      <xdr:row>11</xdr:row>
      <xdr:rowOff>152400</xdr:rowOff>
    </xdr:to>
    <xdr:sp macro="" textlink="">
      <xdr:nvSpPr>
        <xdr:cNvPr id="17418" name="AutoShape 10" descr="In Progress">
          <a:extLst>
            <a:ext uri="{FF2B5EF4-FFF2-40B4-BE49-F238E27FC236}">
              <a16:creationId xmlns:a16="http://schemas.microsoft.com/office/drawing/2014/main" id="{00000000-0008-0000-0200-00000A44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789622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</xdr:row>
      <xdr:rowOff>0</xdr:rowOff>
    </xdr:from>
    <xdr:to>
      <xdr:col>5</xdr:col>
      <xdr:colOff>152400</xdr:colOff>
      <xdr:row>12</xdr:row>
      <xdr:rowOff>152400</xdr:rowOff>
    </xdr:to>
    <xdr:sp macro="" textlink="">
      <xdr:nvSpPr>
        <xdr:cNvPr id="17419" name="AutoShape 11" descr="Taken">
          <a:extLst>
            <a:ext uri="{FF2B5EF4-FFF2-40B4-BE49-F238E27FC236}">
              <a16:creationId xmlns:a16="http://schemas.microsoft.com/office/drawing/2014/main" id="{00000000-0008-0000-0200-00000B44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88582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</xdr:row>
      <xdr:rowOff>0</xdr:rowOff>
    </xdr:from>
    <xdr:to>
      <xdr:col>5</xdr:col>
      <xdr:colOff>152400</xdr:colOff>
      <xdr:row>13</xdr:row>
      <xdr:rowOff>152400</xdr:rowOff>
    </xdr:to>
    <xdr:sp macro="" textlink="">
      <xdr:nvSpPr>
        <xdr:cNvPr id="17420" name="AutoShape 12" descr="In Progress">
          <a:extLst>
            <a:ext uri="{FF2B5EF4-FFF2-40B4-BE49-F238E27FC236}">
              <a16:creationId xmlns:a16="http://schemas.microsoft.com/office/drawing/2014/main" id="{00000000-0008-0000-0200-00000C44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0107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</xdr:row>
      <xdr:rowOff>0</xdr:rowOff>
    </xdr:from>
    <xdr:to>
      <xdr:col>5</xdr:col>
      <xdr:colOff>152400</xdr:colOff>
      <xdr:row>14</xdr:row>
      <xdr:rowOff>152400</xdr:rowOff>
    </xdr:to>
    <xdr:sp macro="" textlink="">
      <xdr:nvSpPr>
        <xdr:cNvPr id="17421" name="AutoShape 13" descr="Taken">
          <a:extLst>
            <a:ext uri="{FF2B5EF4-FFF2-40B4-BE49-F238E27FC236}">
              <a16:creationId xmlns:a16="http://schemas.microsoft.com/office/drawing/2014/main" id="{00000000-0008-0000-0200-00000D44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09728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152400</xdr:colOff>
      <xdr:row>15</xdr:row>
      <xdr:rowOff>152400</xdr:rowOff>
    </xdr:to>
    <xdr:sp macro="" textlink="">
      <xdr:nvSpPr>
        <xdr:cNvPr id="17422" name="AutoShape 14" descr="Taken">
          <a:extLst>
            <a:ext uri="{FF2B5EF4-FFF2-40B4-BE49-F238E27FC236}">
              <a16:creationId xmlns:a16="http://schemas.microsoft.com/office/drawing/2014/main" id="{00000000-0008-0000-0200-00000E44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12532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</xdr:row>
      <xdr:rowOff>0</xdr:rowOff>
    </xdr:from>
    <xdr:to>
      <xdr:col>5</xdr:col>
      <xdr:colOff>152400</xdr:colOff>
      <xdr:row>16</xdr:row>
      <xdr:rowOff>152400</xdr:rowOff>
    </xdr:to>
    <xdr:sp macro="" textlink="">
      <xdr:nvSpPr>
        <xdr:cNvPr id="17423" name="AutoShape 15" descr="Taken">
          <a:extLst>
            <a:ext uri="{FF2B5EF4-FFF2-40B4-BE49-F238E27FC236}">
              <a16:creationId xmlns:a16="http://schemas.microsoft.com/office/drawing/2014/main" id="{00000000-0008-0000-0200-00000F44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30873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</xdr:row>
      <xdr:rowOff>0</xdr:rowOff>
    </xdr:from>
    <xdr:to>
      <xdr:col>5</xdr:col>
      <xdr:colOff>152400</xdr:colOff>
      <xdr:row>17</xdr:row>
      <xdr:rowOff>152400</xdr:rowOff>
    </xdr:to>
    <xdr:sp macro="" textlink="">
      <xdr:nvSpPr>
        <xdr:cNvPr id="17424" name="AutoShape 16" descr="Transferred">
          <a:extLst>
            <a:ext uri="{FF2B5EF4-FFF2-40B4-BE49-F238E27FC236}">
              <a16:creationId xmlns:a16="http://schemas.microsoft.com/office/drawing/2014/main" id="{00000000-0008-0000-0200-00001044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40493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</xdr:row>
      <xdr:rowOff>0</xdr:rowOff>
    </xdr:from>
    <xdr:to>
      <xdr:col>5</xdr:col>
      <xdr:colOff>152400</xdr:colOff>
      <xdr:row>18</xdr:row>
      <xdr:rowOff>152400</xdr:rowOff>
    </xdr:to>
    <xdr:sp macro="" textlink="">
      <xdr:nvSpPr>
        <xdr:cNvPr id="17425" name="AutoShape 17" descr="Taken">
          <a:extLst>
            <a:ext uri="{FF2B5EF4-FFF2-40B4-BE49-F238E27FC236}">
              <a16:creationId xmlns:a16="http://schemas.microsoft.com/office/drawing/2014/main" id="{00000000-0008-0000-0200-00001144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5011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</xdr:row>
      <xdr:rowOff>0</xdr:rowOff>
    </xdr:from>
    <xdr:to>
      <xdr:col>5</xdr:col>
      <xdr:colOff>152400</xdr:colOff>
      <xdr:row>19</xdr:row>
      <xdr:rowOff>152400</xdr:rowOff>
    </xdr:to>
    <xdr:sp macro="" textlink="">
      <xdr:nvSpPr>
        <xdr:cNvPr id="17426" name="AutoShape 18" descr="Taken">
          <a:extLst>
            <a:ext uri="{FF2B5EF4-FFF2-40B4-BE49-F238E27FC236}">
              <a16:creationId xmlns:a16="http://schemas.microsoft.com/office/drawing/2014/main" id="{00000000-0008-0000-0200-00001244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578292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152400</xdr:colOff>
      <xdr:row>21</xdr:row>
      <xdr:rowOff>152400</xdr:rowOff>
    </xdr:to>
    <xdr:sp macro="" textlink="">
      <xdr:nvSpPr>
        <xdr:cNvPr id="17427" name="AutoShape 19" descr="Taken">
          <a:extLst>
            <a:ext uri="{FF2B5EF4-FFF2-40B4-BE49-F238E27FC236}">
              <a16:creationId xmlns:a16="http://schemas.microsoft.com/office/drawing/2014/main" id="{00000000-0008-0000-0200-00001344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5544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</xdr:row>
      <xdr:rowOff>0</xdr:rowOff>
    </xdr:from>
    <xdr:to>
      <xdr:col>5</xdr:col>
      <xdr:colOff>152400</xdr:colOff>
      <xdr:row>22</xdr:row>
      <xdr:rowOff>152400</xdr:rowOff>
    </xdr:to>
    <xdr:sp macro="" textlink="">
      <xdr:nvSpPr>
        <xdr:cNvPr id="17428" name="AutoShape 20" descr="Transferred">
          <a:extLst>
            <a:ext uri="{FF2B5EF4-FFF2-40B4-BE49-F238E27FC236}">
              <a16:creationId xmlns:a16="http://schemas.microsoft.com/office/drawing/2014/main" id="{00000000-0008-0000-0200-00001444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69449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</xdr:row>
      <xdr:rowOff>0</xdr:rowOff>
    </xdr:from>
    <xdr:to>
      <xdr:col>5</xdr:col>
      <xdr:colOff>152400</xdr:colOff>
      <xdr:row>23</xdr:row>
      <xdr:rowOff>152400</xdr:rowOff>
    </xdr:to>
    <xdr:sp macro="" textlink="">
      <xdr:nvSpPr>
        <xdr:cNvPr id="17429" name="AutoShape 21" descr="Taken">
          <a:extLst>
            <a:ext uri="{FF2B5EF4-FFF2-40B4-BE49-F238E27FC236}">
              <a16:creationId xmlns:a16="http://schemas.microsoft.com/office/drawing/2014/main" id="{00000000-0008-0000-0200-00001544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7526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</xdr:row>
      <xdr:rowOff>0</xdr:rowOff>
    </xdr:from>
    <xdr:to>
      <xdr:col>5</xdr:col>
      <xdr:colOff>152400</xdr:colOff>
      <xdr:row>24</xdr:row>
      <xdr:rowOff>152400</xdr:rowOff>
    </xdr:to>
    <xdr:sp macro="" textlink="">
      <xdr:nvSpPr>
        <xdr:cNvPr id="17430" name="AutoShape 22" descr="Transferred">
          <a:extLst>
            <a:ext uri="{FF2B5EF4-FFF2-40B4-BE49-F238E27FC236}">
              <a16:creationId xmlns:a16="http://schemas.microsoft.com/office/drawing/2014/main" id="{00000000-0008-0000-0200-00001644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10702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</xdr:row>
      <xdr:rowOff>0</xdr:rowOff>
    </xdr:from>
    <xdr:to>
      <xdr:col>5</xdr:col>
      <xdr:colOff>152400</xdr:colOff>
      <xdr:row>25</xdr:row>
      <xdr:rowOff>152400</xdr:rowOff>
    </xdr:to>
    <xdr:sp macro="" textlink="">
      <xdr:nvSpPr>
        <xdr:cNvPr id="17431" name="AutoShape 23" descr="Transferred">
          <a:extLst>
            <a:ext uri="{FF2B5EF4-FFF2-40B4-BE49-F238E27FC236}">
              <a16:creationId xmlns:a16="http://schemas.microsoft.com/office/drawing/2014/main" id="{00000000-0008-0000-0200-00001744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868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</xdr:row>
      <xdr:rowOff>0</xdr:rowOff>
    </xdr:from>
    <xdr:to>
      <xdr:col>5</xdr:col>
      <xdr:colOff>152400</xdr:colOff>
      <xdr:row>26</xdr:row>
      <xdr:rowOff>152400</xdr:rowOff>
    </xdr:to>
    <xdr:sp macro="" textlink="">
      <xdr:nvSpPr>
        <xdr:cNvPr id="17432" name="AutoShape 24" descr="Taken">
          <a:extLst>
            <a:ext uri="{FF2B5EF4-FFF2-40B4-BE49-F238E27FC236}">
              <a16:creationId xmlns:a16="http://schemas.microsoft.com/office/drawing/2014/main" id="{00000000-0008-0000-0200-00001844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90785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</xdr:row>
      <xdr:rowOff>0</xdr:rowOff>
    </xdr:from>
    <xdr:to>
      <xdr:col>5</xdr:col>
      <xdr:colOff>152400</xdr:colOff>
      <xdr:row>27</xdr:row>
      <xdr:rowOff>152400</xdr:rowOff>
    </xdr:to>
    <xdr:sp macro="" textlink="">
      <xdr:nvSpPr>
        <xdr:cNvPr id="17433" name="AutoShape 25" descr="Transferred">
          <a:extLst>
            <a:ext uri="{FF2B5EF4-FFF2-40B4-BE49-F238E27FC236}">
              <a16:creationId xmlns:a16="http://schemas.microsoft.com/office/drawing/2014/main" id="{00000000-0008-0000-0200-00001944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94691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</xdr:row>
      <xdr:rowOff>0</xdr:rowOff>
    </xdr:from>
    <xdr:to>
      <xdr:col>5</xdr:col>
      <xdr:colOff>152400</xdr:colOff>
      <xdr:row>28</xdr:row>
      <xdr:rowOff>152400</xdr:rowOff>
    </xdr:to>
    <xdr:sp macro="" textlink="">
      <xdr:nvSpPr>
        <xdr:cNvPr id="17434" name="AutoShape 26" descr="Taken">
          <a:extLst>
            <a:ext uri="{FF2B5EF4-FFF2-40B4-BE49-F238E27FC236}">
              <a16:creationId xmlns:a16="http://schemas.microsoft.com/office/drawing/2014/main" id="{00000000-0008-0000-0200-00001A44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024062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</xdr:row>
      <xdr:rowOff>0</xdr:rowOff>
    </xdr:from>
    <xdr:to>
      <xdr:col>5</xdr:col>
      <xdr:colOff>152400</xdr:colOff>
      <xdr:row>29</xdr:row>
      <xdr:rowOff>152400</xdr:rowOff>
    </xdr:to>
    <xdr:sp macro="" textlink="">
      <xdr:nvSpPr>
        <xdr:cNvPr id="17435" name="AutoShape 27" descr="Taken">
          <a:extLst>
            <a:ext uri="{FF2B5EF4-FFF2-40B4-BE49-F238E27FC236}">
              <a16:creationId xmlns:a16="http://schemas.microsoft.com/office/drawing/2014/main" id="{00000000-0008-0000-0200-00001B44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06311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30</xdr:row>
      <xdr:rowOff>0</xdr:rowOff>
    </xdr:from>
    <xdr:to>
      <xdr:col>5</xdr:col>
      <xdr:colOff>152400</xdr:colOff>
      <xdr:row>30</xdr:row>
      <xdr:rowOff>152400</xdr:rowOff>
    </xdr:to>
    <xdr:sp macro="" textlink="">
      <xdr:nvSpPr>
        <xdr:cNvPr id="17436" name="AutoShape 28" descr="Taken">
          <a:extLst>
            <a:ext uri="{FF2B5EF4-FFF2-40B4-BE49-F238E27FC236}">
              <a16:creationId xmlns:a16="http://schemas.microsoft.com/office/drawing/2014/main" id="{00000000-0008-0000-0200-00001C440000}"/>
            </a:ext>
          </a:extLst>
        </xdr:cNvPr>
        <xdr:cNvSpPr>
          <a:spLocks noChangeAspect="1" noChangeArrowheads="1"/>
        </xdr:cNvSpPr>
      </xdr:nvSpPr>
      <xdr:spPr bwMode="auto">
        <a:xfrm>
          <a:off x="3048000" y="212121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152400</xdr:colOff>
      <xdr:row>0</xdr:row>
      <xdr:rowOff>152400</xdr:rowOff>
    </xdr:to>
    <xdr:sp macro="" textlink="">
      <xdr:nvSpPr>
        <xdr:cNvPr id="17437" name="AutoShape 29" descr="Transferred">
          <a:extLst>
            <a:ext uri="{FF2B5EF4-FFF2-40B4-BE49-F238E27FC236}">
              <a16:creationId xmlns:a16="http://schemas.microsoft.com/office/drawing/2014/main" id="{00000000-0008-0000-0200-00001D440000}"/>
            </a:ext>
          </a:extLst>
        </xdr:cNvPr>
        <xdr:cNvSpPr>
          <a:spLocks noChangeAspect="1" noChangeArrowheads="1"/>
        </xdr:cNvSpPr>
      </xdr:nvSpPr>
      <xdr:spPr bwMode="auto">
        <a:xfrm>
          <a:off x="4733925" y="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152400</xdr:colOff>
      <xdr:row>0</xdr:row>
      <xdr:rowOff>152400</xdr:rowOff>
    </xdr:to>
    <xdr:sp macro="" textlink="">
      <xdr:nvSpPr>
        <xdr:cNvPr id="17438" name="AutoShape 30" descr="Transferred">
          <a:extLst>
            <a:ext uri="{FF2B5EF4-FFF2-40B4-BE49-F238E27FC236}">
              <a16:creationId xmlns:a16="http://schemas.microsoft.com/office/drawing/2014/main" id="{00000000-0008-0000-0200-00001E440000}"/>
            </a:ext>
          </a:extLst>
        </xdr:cNvPr>
        <xdr:cNvSpPr>
          <a:spLocks noChangeAspect="1" noChangeArrowheads="1"/>
        </xdr:cNvSpPr>
      </xdr:nvSpPr>
      <xdr:spPr bwMode="auto">
        <a:xfrm>
          <a:off x="4733925" y="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5</xdr:col>
      <xdr:colOff>0</xdr:colOff>
      <xdr:row>20</xdr:row>
      <xdr:rowOff>0</xdr:rowOff>
    </xdr:from>
    <xdr:ext cx="152400" cy="152400"/>
    <xdr:sp macro="" textlink="">
      <xdr:nvSpPr>
        <xdr:cNvPr id="3" name="AutoShape 19" descr="Taken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4733925" y="50196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 editAs="oneCell">
    <xdr:from>
      <xdr:col>0</xdr:col>
      <xdr:colOff>0</xdr:colOff>
      <xdr:row>4</xdr:row>
      <xdr:rowOff>0</xdr:rowOff>
    </xdr:from>
    <xdr:to>
      <xdr:col>0</xdr:col>
      <xdr:colOff>152400</xdr:colOff>
      <xdr:row>4</xdr:row>
      <xdr:rowOff>152400</xdr:rowOff>
    </xdr:to>
    <xdr:sp macro="" textlink="">
      <xdr:nvSpPr>
        <xdr:cNvPr id="14368" name="AutoShape 32" descr="In Progress">
          <a:extLst>
            <a:ext uri="{FF2B5EF4-FFF2-40B4-BE49-F238E27FC236}">
              <a16:creationId xmlns:a16="http://schemas.microsoft.com/office/drawing/2014/main" id="{00000000-0008-0000-0200-000020380000}"/>
            </a:ext>
          </a:extLst>
        </xdr:cNvPr>
        <xdr:cNvSpPr>
          <a:spLocks noChangeAspect="1" noChangeArrowheads="1"/>
        </xdr:cNvSpPr>
      </xdr:nvSpPr>
      <xdr:spPr bwMode="auto">
        <a:xfrm>
          <a:off x="0" y="8001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12</xdr:row>
      <xdr:rowOff>0</xdr:rowOff>
    </xdr:from>
    <xdr:to>
      <xdr:col>0</xdr:col>
      <xdr:colOff>152400</xdr:colOff>
      <xdr:row>12</xdr:row>
      <xdr:rowOff>152400</xdr:rowOff>
    </xdr:to>
    <xdr:sp macro="" textlink="">
      <xdr:nvSpPr>
        <xdr:cNvPr id="14369" name="AutoShape 33" descr="Taken">
          <a:extLst>
            <a:ext uri="{FF2B5EF4-FFF2-40B4-BE49-F238E27FC236}">
              <a16:creationId xmlns:a16="http://schemas.microsoft.com/office/drawing/2014/main" id="{00000000-0008-0000-0200-000021380000}"/>
            </a:ext>
          </a:extLst>
        </xdr:cNvPr>
        <xdr:cNvSpPr>
          <a:spLocks noChangeAspect="1" noChangeArrowheads="1"/>
        </xdr:cNvSpPr>
      </xdr:nvSpPr>
      <xdr:spPr bwMode="auto">
        <a:xfrm>
          <a:off x="0" y="20002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152400</xdr:colOff>
      <xdr:row>18</xdr:row>
      <xdr:rowOff>152400</xdr:rowOff>
    </xdr:to>
    <xdr:sp macro="" textlink="">
      <xdr:nvSpPr>
        <xdr:cNvPr id="14370" name="AutoShape 34" descr="Transferred">
          <a:extLst>
            <a:ext uri="{FF2B5EF4-FFF2-40B4-BE49-F238E27FC236}">
              <a16:creationId xmlns:a16="http://schemas.microsoft.com/office/drawing/2014/main" id="{00000000-0008-0000-0200-000022380000}"/>
            </a:ext>
          </a:extLst>
        </xdr:cNvPr>
        <xdr:cNvSpPr>
          <a:spLocks noChangeAspect="1" noChangeArrowheads="1"/>
        </xdr:cNvSpPr>
      </xdr:nvSpPr>
      <xdr:spPr bwMode="auto">
        <a:xfrm>
          <a:off x="0" y="3200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24</xdr:row>
      <xdr:rowOff>0</xdr:rowOff>
    </xdr:from>
    <xdr:to>
      <xdr:col>0</xdr:col>
      <xdr:colOff>152400</xdr:colOff>
      <xdr:row>24</xdr:row>
      <xdr:rowOff>152400</xdr:rowOff>
    </xdr:to>
    <xdr:sp macro="" textlink="">
      <xdr:nvSpPr>
        <xdr:cNvPr id="14371" name="AutoShape 35" descr="Transferred">
          <a:extLst>
            <a:ext uri="{FF2B5EF4-FFF2-40B4-BE49-F238E27FC236}">
              <a16:creationId xmlns:a16="http://schemas.microsoft.com/office/drawing/2014/main" id="{00000000-0008-0000-0200-000023380000}"/>
            </a:ext>
          </a:extLst>
        </xdr:cNvPr>
        <xdr:cNvSpPr>
          <a:spLocks noChangeAspect="1" noChangeArrowheads="1"/>
        </xdr:cNvSpPr>
      </xdr:nvSpPr>
      <xdr:spPr bwMode="auto">
        <a:xfrm>
          <a:off x="0" y="44005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30</xdr:row>
      <xdr:rowOff>0</xdr:rowOff>
    </xdr:from>
    <xdr:to>
      <xdr:col>0</xdr:col>
      <xdr:colOff>152400</xdr:colOff>
      <xdr:row>30</xdr:row>
      <xdr:rowOff>152400</xdr:rowOff>
    </xdr:to>
    <xdr:sp macro="" textlink="">
      <xdr:nvSpPr>
        <xdr:cNvPr id="14372" name="AutoShape 36" descr="Taken">
          <a:extLst>
            <a:ext uri="{FF2B5EF4-FFF2-40B4-BE49-F238E27FC236}">
              <a16:creationId xmlns:a16="http://schemas.microsoft.com/office/drawing/2014/main" id="{00000000-0008-0000-0200-000024380000}"/>
            </a:ext>
          </a:extLst>
        </xdr:cNvPr>
        <xdr:cNvSpPr>
          <a:spLocks noChangeAspect="1" noChangeArrowheads="1"/>
        </xdr:cNvSpPr>
      </xdr:nvSpPr>
      <xdr:spPr bwMode="auto">
        <a:xfrm>
          <a:off x="0" y="56007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152400</xdr:colOff>
      <xdr:row>35</xdr:row>
      <xdr:rowOff>152400</xdr:rowOff>
    </xdr:to>
    <xdr:sp macro="" textlink="">
      <xdr:nvSpPr>
        <xdr:cNvPr id="14373" name="AutoShape 37" descr="Taken">
          <a:extLst>
            <a:ext uri="{FF2B5EF4-FFF2-40B4-BE49-F238E27FC236}">
              <a16:creationId xmlns:a16="http://schemas.microsoft.com/office/drawing/2014/main" id="{00000000-0008-0000-0200-000025380000}"/>
            </a:ext>
          </a:extLst>
        </xdr:cNvPr>
        <xdr:cNvSpPr>
          <a:spLocks noChangeAspect="1" noChangeArrowheads="1"/>
        </xdr:cNvSpPr>
      </xdr:nvSpPr>
      <xdr:spPr bwMode="auto">
        <a:xfrm>
          <a:off x="0" y="675322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40</xdr:row>
      <xdr:rowOff>0</xdr:rowOff>
    </xdr:from>
    <xdr:to>
      <xdr:col>0</xdr:col>
      <xdr:colOff>152400</xdr:colOff>
      <xdr:row>40</xdr:row>
      <xdr:rowOff>152400</xdr:rowOff>
    </xdr:to>
    <xdr:sp macro="" textlink="">
      <xdr:nvSpPr>
        <xdr:cNvPr id="14374" name="AutoShape 38" descr="In Progress">
          <a:extLst>
            <a:ext uri="{FF2B5EF4-FFF2-40B4-BE49-F238E27FC236}">
              <a16:creationId xmlns:a16="http://schemas.microsoft.com/office/drawing/2014/main" id="{00000000-0008-0000-0200-000026380000}"/>
            </a:ext>
          </a:extLst>
        </xdr:cNvPr>
        <xdr:cNvSpPr>
          <a:spLocks noChangeAspect="1" noChangeArrowheads="1"/>
        </xdr:cNvSpPr>
      </xdr:nvSpPr>
      <xdr:spPr bwMode="auto">
        <a:xfrm>
          <a:off x="0" y="770572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45</xdr:row>
      <xdr:rowOff>0</xdr:rowOff>
    </xdr:from>
    <xdr:to>
      <xdr:col>0</xdr:col>
      <xdr:colOff>152400</xdr:colOff>
      <xdr:row>45</xdr:row>
      <xdr:rowOff>152400</xdr:rowOff>
    </xdr:to>
    <xdr:sp macro="" textlink="">
      <xdr:nvSpPr>
        <xdr:cNvPr id="14375" name="AutoShape 39" descr="In Progress">
          <a:extLst>
            <a:ext uri="{FF2B5EF4-FFF2-40B4-BE49-F238E27FC236}">
              <a16:creationId xmlns:a16="http://schemas.microsoft.com/office/drawing/2014/main" id="{00000000-0008-0000-0200-000027380000}"/>
            </a:ext>
          </a:extLst>
        </xdr:cNvPr>
        <xdr:cNvSpPr>
          <a:spLocks noChangeAspect="1" noChangeArrowheads="1"/>
        </xdr:cNvSpPr>
      </xdr:nvSpPr>
      <xdr:spPr bwMode="auto">
        <a:xfrm>
          <a:off x="0" y="865822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50</xdr:row>
      <xdr:rowOff>0</xdr:rowOff>
    </xdr:from>
    <xdr:to>
      <xdr:col>0</xdr:col>
      <xdr:colOff>152400</xdr:colOff>
      <xdr:row>50</xdr:row>
      <xdr:rowOff>152400</xdr:rowOff>
    </xdr:to>
    <xdr:sp macro="" textlink="">
      <xdr:nvSpPr>
        <xdr:cNvPr id="14376" name="AutoShape 40" descr="In Progress">
          <a:extLst>
            <a:ext uri="{FF2B5EF4-FFF2-40B4-BE49-F238E27FC236}">
              <a16:creationId xmlns:a16="http://schemas.microsoft.com/office/drawing/2014/main" id="{00000000-0008-0000-0200-000028380000}"/>
            </a:ext>
          </a:extLst>
        </xdr:cNvPr>
        <xdr:cNvSpPr>
          <a:spLocks noChangeAspect="1" noChangeArrowheads="1"/>
        </xdr:cNvSpPr>
      </xdr:nvSpPr>
      <xdr:spPr bwMode="auto">
        <a:xfrm>
          <a:off x="0" y="961072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55</xdr:row>
      <xdr:rowOff>0</xdr:rowOff>
    </xdr:from>
    <xdr:to>
      <xdr:col>0</xdr:col>
      <xdr:colOff>152400</xdr:colOff>
      <xdr:row>55</xdr:row>
      <xdr:rowOff>152400</xdr:rowOff>
    </xdr:to>
    <xdr:sp macro="" textlink="">
      <xdr:nvSpPr>
        <xdr:cNvPr id="14377" name="AutoShape 41" descr="In Progress">
          <a:extLst>
            <a:ext uri="{FF2B5EF4-FFF2-40B4-BE49-F238E27FC236}">
              <a16:creationId xmlns:a16="http://schemas.microsoft.com/office/drawing/2014/main" id="{00000000-0008-0000-0200-000029380000}"/>
            </a:ext>
          </a:extLst>
        </xdr:cNvPr>
        <xdr:cNvSpPr>
          <a:spLocks noChangeAspect="1" noChangeArrowheads="1"/>
        </xdr:cNvSpPr>
      </xdr:nvSpPr>
      <xdr:spPr bwMode="auto">
        <a:xfrm>
          <a:off x="0" y="1056322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60</xdr:row>
      <xdr:rowOff>0</xdr:rowOff>
    </xdr:from>
    <xdr:to>
      <xdr:col>0</xdr:col>
      <xdr:colOff>152400</xdr:colOff>
      <xdr:row>60</xdr:row>
      <xdr:rowOff>152400</xdr:rowOff>
    </xdr:to>
    <xdr:sp macro="" textlink="">
      <xdr:nvSpPr>
        <xdr:cNvPr id="14378" name="AutoShape 42" descr="In Progress">
          <a:extLst>
            <a:ext uri="{FF2B5EF4-FFF2-40B4-BE49-F238E27FC236}">
              <a16:creationId xmlns:a16="http://schemas.microsoft.com/office/drawing/2014/main" id="{00000000-0008-0000-0200-00002A380000}"/>
            </a:ext>
          </a:extLst>
        </xdr:cNvPr>
        <xdr:cNvSpPr>
          <a:spLocks noChangeAspect="1" noChangeArrowheads="1"/>
        </xdr:cNvSpPr>
      </xdr:nvSpPr>
      <xdr:spPr bwMode="auto">
        <a:xfrm>
          <a:off x="0" y="1151572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65</xdr:row>
      <xdr:rowOff>0</xdr:rowOff>
    </xdr:from>
    <xdr:to>
      <xdr:col>0</xdr:col>
      <xdr:colOff>152400</xdr:colOff>
      <xdr:row>65</xdr:row>
      <xdr:rowOff>152400</xdr:rowOff>
    </xdr:to>
    <xdr:sp macro="" textlink="">
      <xdr:nvSpPr>
        <xdr:cNvPr id="14379" name="AutoShape 43" descr="In Progress">
          <a:extLst>
            <a:ext uri="{FF2B5EF4-FFF2-40B4-BE49-F238E27FC236}">
              <a16:creationId xmlns:a16="http://schemas.microsoft.com/office/drawing/2014/main" id="{00000000-0008-0000-0200-00002B380000}"/>
            </a:ext>
          </a:extLst>
        </xdr:cNvPr>
        <xdr:cNvSpPr>
          <a:spLocks noChangeAspect="1" noChangeArrowheads="1"/>
        </xdr:cNvSpPr>
      </xdr:nvSpPr>
      <xdr:spPr bwMode="auto">
        <a:xfrm>
          <a:off x="0" y="1246822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70</xdr:row>
      <xdr:rowOff>0</xdr:rowOff>
    </xdr:from>
    <xdr:to>
      <xdr:col>0</xdr:col>
      <xdr:colOff>152400</xdr:colOff>
      <xdr:row>70</xdr:row>
      <xdr:rowOff>152400</xdr:rowOff>
    </xdr:to>
    <xdr:sp macro="" textlink="">
      <xdr:nvSpPr>
        <xdr:cNvPr id="14380" name="AutoShape 44" descr="In Progress">
          <a:extLst>
            <a:ext uri="{FF2B5EF4-FFF2-40B4-BE49-F238E27FC236}">
              <a16:creationId xmlns:a16="http://schemas.microsoft.com/office/drawing/2014/main" id="{00000000-0008-0000-0200-00002C380000}"/>
            </a:ext>
          </a:extLst>
        </xdr:cNvPr>
        <xdr:cNvSpPr>
          <a:spLocks noChangeAspect="1" noChangeArrowheads="1"/>
        </xdr:cNvSpPr>
      </xdr:nvSpPr>
      <xdr:spPr bwMode="auto">
        <a:xfrm>
          <a:off x="0" y="1342072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75</xdr:row>
      <xdr:rowOff>0</xdr:rowOff>
    </xdr:from>
    <xdr:to>
      <xdr:col>0</xdr:col>
      <xdr:colOff>152400</xdr:colOff>
      <xdr:row>75</xdr:row>
      <xdr:rowOff>152400</xdr:rowOff>
    </xdr:to>
    <xdr:sp macro="" textlink="">
      <xdr:nvSpPr>
        <xdr:cNvPr id="14381" name="AutoShape 45" descr="In Progress">
          <a:extLst>
            <a:ext uri="{FF2B5EF4-FFF2-40B4-BE49-F238E27FC236}">
              <a16:creationId xmlns:a16="http://schemas.microsoft.com/office/drawing/2014/main" id="{00000000-0008-0000-0200-00002D380000}"/>
            </a:ext>
          </a:extLst>
        </xdr:cNvPr>
        <xdr:cNvSpPr>
          <a:spLocks noChangeAspect="1" noChangeArrowheads="1"/>
        </xdr:cNvSpPr>
      </xdr:nvSpPr>
      <xdr:spPr bwMode="auto">
        <a:xfrm>
          <a:off x="0" y="1437322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81</xdr:row>
      <xdr:rowOff>0</xdr:rowOff>
    </xdr:from>
    <xdr:to>
      <xdr:col>0</xdr:col>
      <xdr:colOff>152400</xdr:colOff>
      <xdr:row>81</xdr:row>
      <xdr:rowOff>152400</xdr:rowOff>
    </xdr:to>
    <xdr:sp macro="" textlink="">
      <xdr:nvSpPr>
        <xdr:cNvPr id="14382" name="AutoShape 46" descr="Transferred">
          <a:extLst>
            <a:ext uri="{FF2B5EF4-FFF2-40B4-BE49-F238E27FC236}">
              <a16:creationId xmlns:a16="http://schemas.microsoft.com/office/drawing/2014/main" id="{00000000-0008-0000-0200-00002E380000}"/>
            </a:ext>
          </a:extLst>
        </xdr:cNvPr>
        <xdr:cNvSpPr>
          <a:spLocks noChangeAspect="1" noChangeArrowheads="1"/>
        </xdr:cNvSpPr>
      </xdr:nvSpPr>
      <xdr:spPr bwMode="auto">
        <a:xfrm>
          <a:off x="0" y="1551622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87</xdr:row>
      <xdr:rowOff>0</xdr:rowOff>
    </xdr:from>
    <xdr:to>
      <xdr:col>0</xdr:col>
      <xdr:colOff>152400</xdr:colOff>
      <xdr:row>87</xdr:row>
      <xdr:rowOff>152400</xdr:rowOff>
    </xdr:to>
    <xdr:sp macro="" textlink="">
      <xdr:nvSpPr>
        <xdr:cNvPr id="14383" name="AutoShape 47" descr="Taken">
          <a:extLst>
            <a:ext uri="{FF2B5EF4-FFF2-40B4-BE49-F238E27FC236}">
              <a16:creationId xmlns:a16="http://schemas.microsoft.com/office/drawing/2014/main" id="{00000000-0008-0000-0200-00002F380000}"/>
            </a:ext>
          </a:extLst>
        </xdr:cNvPr>
        <xdr:cNvSpPr>
          <a:spLocks noChangeAspect="1" noChangeArrowheads="1"/>
        </xdr:cNvSpPr>
      </xdr:nvSpPr>
      <xdr:spPr bwMode="auto">
        <a:xfrm>
          <a:off x="0" y="1665922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92</xdr:row>
      <xdr:rowOff>0</xdr:rowOff>
    </xdr:from>
    <xdr:to>
      <xdr:col>0</xdr:col>
      <xdr:colOff>152400</xdr:colOff>
      <xdr:row>92</xdr:row>
      <xdr:rowOff>152400</xdr:rowOff>
    </xdr:to>
    <xdr:sp macro="" textlink="">
      <xdr:nvSpPr>
        <xdr:cNvPr id="14384" name="AutoShape 48" descr="In Progress">
          <a:extLst>
            <a:ext uri="{FF2B5EF4-FFF2-40B4-BE49-F238E27FC236}">
              <a16:creationId xmlns:a16="http://schemas.microsoft.com/office/drawing/2014/main" id="{00000000-0008-0000-0200-000030380000}"/>
            </a:ext>
          </a:extLst>
        </xdr:cNvPr>
        <xdr:cNvSpPr>
          <a:spLocks noChangeAspect="1" noChangeArrowheads="1"/>
        </xdr:cNvSpPr>
      </xdr:nvSpPr>
      <xdr:spPr bwMode="auto">
        <a:xfrm>
          <a:off x="0" y="1761172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98</xdr:row>
      <xdr:rowOff>0</xdr:rowOff>
    </xdr:from>
    <xdr:to>
      <xdr:col>0</xdr:col>
      <xdr:colOff>152400</xdr:colOff>
      <xdr:row>98</xdr:row>
      <xdr:rowOff>152400</xdr:rowOff>
    </xdr:to>
    <xdr:sp macro="" textlink="">
      <xdr:nvSpPr>
        <xdr:cNvPr id="14385" name="AutoShape 49" descr="Transferred">
          <a:extLst>
            <a:ext uri="{FF2B5EF4-FFF2-40B4-BE49-F238E27FC236}">
              <a16:creationId xmlns:a16="http://schemas.microsoft.com/office/drawing/2014/main" id="{00000000-0008-0000-0200-000031380000}"/>
            </a:ext>
          </a:extLst>
        </xdr:cNvPr>
        <xdr:cNvSpPr>
          <a:spLocks noChangeAspect="1" noChangeArrowheads="1"/>
        </xdr:cNvSpPr>
      </xdr:nvSpPr>
      <xdr:spPr bwMode="auto">
        <a:xfrm>
          <a:off x="0" y="1875472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104</xdr:row>
      <xdr:rowOff>0</xdr:rowOff>
    </xdr:from>
    <xdr:to>
      <xdr:col>0</xdr:col>
      <xdr:colOff>152400</xdr:colOff>
      <xdr:row>104</xdr:row>
      <xdr:rowOff>152400</xdr:rowOff>
    </xdr:to>
    <xdr:sp macro="" textlink="">
      <xdr:nvSpPr>
        <xdr:cNvPr id="14386" name="AutoShape 50" descr="Transferred">
          <a:extLst>
            <a:ext uri="{FF2B5EF4-FFF2-40B4-BE49-F238E27FC236}">
              <a16:creationId xmlns:a16="http://schemas.microsoft.com/office/drawing/2014/main" id="{00000000-0008-0000-0200-000032380000}"/>
            </a:ext>
          </a:extLst>
        </xdr:cNvPr>
        <xdr:cNvSpPr>
          <a:spLocks noChangeAspect="1" noChangeArrowheads="1"/>
        </xdr:cNvSpPr>
      </xdr:nvSpPr>
      <xdr:spPr bwMode="auto">
        <a:xfrm>
          <a:off x="0" y="1989772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110</xdr:row>
      <xdr:rowOff>0</xdr:rowOff>
    </xdr:from>
    <xdr:to>
      <xdr:col>0</xdr:col>
      <xdr:colOff>152400</xdr:colOff>
      <xdr:row>110</xdr:row>
      <xdr:rowOff>152400</xdr:rowOff>
    </xdr:to>
    <xdr:sp macro="" textlink="">
      <xdr:nvSpPr>
        <xdr:cNvPr id="14387" name="AutoShape 51" descr="Transferred">
          <a:extLst>
            <a:ext uri="{FF2B5EF4-FFF2-40B4-BE49-F238E27FC236}">
              <a16:creationId xmlns:a16="http://schemas.microsoft.com/office/drawing/2014/main" id="{00000000-0008-0000-0200-000033380000}"/>
            </a:ext>
          </a:extLst>
        </xdr:cNvPr>
        <xdr:cNvSpPr>
          <a:spLocks noChangeAspect="1" noChangeArrowheads="1"/>
        </xdr:cNvSpPr>
      </xdr:nvSpPr>
      <xdr:spPr bwMode="auto">
        <a:xfrm>
          <a:off x="0" y="2104072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116</xdr:row>
      <xdr:rowOff>0</xdr:rowOff>
    </xdr:from>
    <xdr:to>
      <xdr:col>0</xdr:col>
      <xdr:colOff>152400</xdr:colOff>
      <xdr:row>116</xdr:row>
      <xdr:rowOff>152400</xdr:rowOff>
    </xdr:to>
    <xdr:sp macro="" textlink="">
      <xdr:nvSpPr>
        <xdr:cNvPr id="14388" name="AutoShape 52" descr="Transferred">
          <a:extLst>
            <a:ext uri="{FF2B5EF4-FFF2-40B4-BE49-F238E27FC236}">
              <a16:creationId xmlns:a16="http://schemas.microsoft.com/office/drawing/2014/main" id="{00000000-0008-0000-0200-000034380000}"/>
            </a:ext>
          </a:extLst>
        </xdr:cNvPr>
        <xdr:cNvSpPr>
          <a:spLocks noChangeAspect="1" noChangeArrowheads="1"/>
        </xdr:cNvSpPr>
      </xdr:nvSpPr>
      <xdr:spPr bwMode="auto">
        <a:xfrm>
          <a:off x="0" y="2218372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122</xdr:row>
      <xdr:rowOff>0</xdr:rowOff>
    </xdr:from>
    <xdr:to>
      <xdr:col>0</xdr:col>
      <xdr:colOff>152400</xdr:colOff>
      <xdr:row>122</xdr:row>
      <xdr:rowOff>152400</xdr:rowOff>
    </xdr:to>
    <xdr:sp macro="" textlink="">
      <xdr:nvSpPr>
        <xdr:cNvPr id="14389" name="AutoShape 53" descr="Transferred">
          <a:extLst>
            <a:ext uri="{FF2B5EF4-FFF2-40B4-BE49-F238E27FC236}">
              <a16:creationId xmlns:a16="http://schemas.microsoft.com/office/drawing/2014/main" id="{00000000-0008-0000-0200-000035380000}"/>
            </a:ext>
          </a:extLst>
        </xdr:cNvPr>
        <xdr:cNvSpPr>
          <a:spLocks noChangeAspect="1" noChangeArrowheads="1"/>
        </xdr:cNvSpPr>
      </xdr:nvSpPr>
      <xdr:spPr bwMode="auto">
        <a:xfrm>
          <a:off x="0" y="2332672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128</xdr:row>
      <xdr:rowOff>0</xdr:rowOff>
    </xdr:from>
    <xdr:to>
      <xdr:col>0</xdr:col>
      <xdr:colOff>152400</xdr:colOff>
      <xdr:row>128</xdr:row>
      <xdr:rowOff>152400</xdr:rowOff>
    </xdr:to>
    <xdr:sp macro="" textlink="">
      <xdr:nvSpPr>
        <xdr:cNvPr id="14390" name="AutoShape 54" descr="Transferred">
          <a:extLst>
            <a:ext uri="{FF2B5EF4-FFF2-40B4-BE49-F238E27FC236}">
              <a16:creationId xmlns:a16="http://schemas.microsoft.com/office/drawing/2014/main" id="{00000000-0008-0000-0200-000036380000}"/>
            </a:ext>
          </a:extLst>
        </xdr:cNvPr>
        <xdr:cNvSpPr>
          <a:spLocks noChangeAspect="1" noChangeArrowheads="1"/>
        </xdr:cNvSpPr>
      </xdr:nvSpPr>
      <xdr:spPr bwMode="auto">
        <a:xfrm>
          <a:off x="0" y="2446972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134</xdr:row>
      <xdr:rowOff>0</xdr:rowOff>
    </xdr:from>
    <xdr:to>
      <xdr:col>0</xdr:col>
      <xdr:colOff>152400</xdr:colOff>
      <xdr:row>134</xdr:row>
      <xdr:rowOff>152400</xdr:rowOff>
    </xdr:to>
    <xdr:sp macro="" textlink="">
      <xdr:nvSpPr>
        <xdr:cNvPr id="14391" name="AutoShape 55" descr="Transferred">
          <a:extLst>
            <a:ext uri="{FF2B5EF4-FFF2-40B4-BE49-F238E27FC236}">
              <a16:creationId xmlns:a16="http://schemas.microsoft.com/office/drawing/2014/main" id="{00000000-0008-0000-0200-000037380000}"/>
            </a:ext>
          </a:extLst>
        </xdr:cNvPr>
        <xdr:cNvSpPr>
          <a:spLocks noChangeAspect="1" noChangeArrowheads="1"/>
        </xdr:cNvSpPr>
      </xdr:nvSpPr>
      <xdr:spPr bwMode="auto">
        <a:xfrm>
          <a:off x="0" y="2561272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140</xdr:row>
      <xdr:rowOff>0</xdr:rowOff>
    </xdr:from>
    <xdr:to>
      <xdr:col>0</xdr:col>
      <xdr:colOff>152400</xdr:colOff>
      <xdr:row>140</xdr:row>
      <xdr:rowOff>152400</xdr:rowOff>
    </xdr:to>
    <xdr:sp macro="" textlink="">
      <xdr:nvSpPr>
        <xdr:cNvPr id="14392" name="AutoShape 56" descr="Taken">
          <a:extLst>
            <a:ext uri="{FF2B5EF4-FFF2-40B4-BE49-F238E27FC236}">
              <a16:creationId xmlns:a16="http://schemas.microsoft.com/office/drawing/2014/main" id="{00000000-0008-0000-0200-000038380000}"/>
            </a:ext>
          </a:extLst>
        </xdr:cNvPr>
        <xdr:cNvSpPr>
          <a:spLocks noChangeAspect="1" noChangeArrowheads="1"/>
        </xdr:cNvSpPr>
      </xdr:nvSpPr>
      <xdr:spPr bwMode="auto">
        <a:xfrm>
          <a:off x="0" y="2675572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146</xdr:row>
      <xdr:rowOff>0</xdr:rowOff>
    </xdr:from>
    <xdr:to>
      <xdr:col>0</xdr:col>
      <xdr:colOff>152400</xdr:colOff>
      <xdr:row>146</xdr:row>
      <xdr:rowOff>152400</xdr:rowOff>
    </xdr:to>
    <xdr:sp macro="" textlink="">
      <xdr:nvSpPr>
        <xdr:cNvPr id="14393" name="AutoShape 57" descr="Transferred">
          <a:extLst>
            <a:ext uri="{FF2B5EF4-FFF2-40B4-BE49-F238E27FC236}">
              <a16:creationId xmlns:a16="http://schemas.microsoft.com/office/drawing/2014/main" id="{00000000-0008-0000-0200-000039380000}"/>
            </a:ext>
          </a:extLst>
        </xdr:cNvPr>
        <xdr:cNvSpPr>
          <a:spLocks noChangeAspect="1" noChangeArrowheads="1"/>
        </xdr:cNvSpPr>
      </xdr:nvSpPr>
      <xdr:spPr bwMode="auto">
        <a:xfrm>
          <a:off x="0" y="2789872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152</xdr:row>
      <xdr:rowOff>0</xdr:rowOff>
    </xdr:from>
    <xdr:to>
      <xdr:col>0</xdr:col>
      <xdr:colOff>152400</xdr:colOff>
      <xdr:row>152</xdr:row>
      <xdr:rowOff>152400</xdr:rowOff>
    </xdr:to>
    <xdr:sp macro="" textlink="">
      <xdr:nvSpPr>
        <xdr:cNvPr id="14394" name="AutoShape 58" descr="Transferred">
          <a:extLst>
            <a:ext uri="{FF2B5EF4-FFF2-40B4-BE49-F238E27FC236}">
              <a16:creationId xmlns:a16="http://schemas.microsoft.com/office/drawing/2014/main" id="{00000000-0008-0000-0200-00003A380000}"/>
            </a:ext>
          </a:extLst>
        </xdr:cNvPr>
        <xdr:cNvSpPr>
          <a:spLocks noChangeAspect="1" noChangeArrowheads="1"/>
        </xdr:cNvSpPr>
      </xdr:nvSpPr>
      <xdr:spPr bwMode="auto">
        <a:xfrm>
          <a:off x="0" y="2904172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158</xdr:row>
      <xdr:rowOff>0</xdr:rowOff>
    </xdr:from>
    <xdr:to>
      <xdr:col>0</xdr:col>
      <xdr:colOff>152400</xdr:colOff>
      <xdr:row>158</xdr:row>
      <xdr:rowOff>152400</xdr:rowOff>
    </xdr:to>
    <xdr:sp macro="" textlink="">
      <xdr:nvSpPr>
        <xdr:cNvPr id="14395" name="AutoShape 59" descr="Transferred">
          <a:extLst>
            <a:ext uri="{FF2B5EF4-FFF2-40B4-BE49-F238E27FC236}">
              <a16:creationId xmlns:a16="http://schemas.microsoft.com/office/drawing/2014/main" id="{00000000-0008-0000-0200-00003B380000}"/>
            </a:ext>
          </a:extLst>
        </xdr:cNvPr>
        <xdr:cNvSpPr>
          <a:spLocks noChangeAspect="1" noChangeArrowheads="1"/>
        </xdr:cNvSpPr>
      </xdr:nvSpPr>
      <xdr:spPr bwMode="auto">
        <a:xfrm>
          <a:off x="0" y="3018472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164</xdr:row>
      <xdr:rowOff>0</xdr:rowOff>
    </xdr:from>
    <xdr:to>
      <xdr:col>0</xdr:col>
      <xdr:colOff>152400</xdr:colOff>
      <xdr:row>164</xdr:row>
      <xdr:rowOff>152400</xdr:rowOff>
    </xdr:to>
    <xdr:sp macro="" textlink="">
      <xdr:nvSpPr>
        <xdr:cNvPr id="14396" name="AutoShape 60" descr="Transferred">
          <a:extLst>
            <a:ext uri="{FF2B5EF4-FFF2-40B4-BE49-F238E27FC236}">
              <a16:creationId xmlns:a16="http://schemas.microsoft.com/office/drawing/2014/main" id="{00000000-0008-0000-0200-00003C380000}"/>
            </a:ext>
          </a:extLst>
        </xdr:cNvPr>
        <xdr:cNvSpPr>
          <a:spLocks noChangeAspect="1" noChangeArrowheads="1"/>
        </xdr:cNvSpPr>
      </xdr:nvSpPr>
      <xdr:spPr bwMode="auto">
        <a:xfrm>
          <a:off x="0" y="3132772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170</xdr:row>
      <xdr:rowOff>0</xdr:rowOff>
    </xdr:from>
    <xdr:to>
      <xdr:col>0</xdr:col>
      <xdr:colOff>152400</xdr:colOff>
      <xdr:row>170</xdr:row>
      <xdr:rowOff>152400</xdr:rowOff>
    </xdr:to>
    <xdr:sp macro="" textlink="">
      <xdr:nvSpPr>
        <xdr:cNvPr id="14397" name="AutoShape 61" descr="Transferred">
          <a:extLst>
            <a:ext uri="{FF2B5EF4-FFF2-40B4-BE49-F238E27FC236}">
              <a16:creationId xmlns:a16="http://schemas.microsoft.com/office/drawing/2014/main" id="{00000000-0008-0000-0200-00003D380000}"/>
            </a:ext>
          </a:extLst>
        </xdr:cNvPr>
        <xdr:cNvSpPr>
          <a:spLocks noChangeAspect="1" noChangeArrowheads="1"/>
        </xdr:cNvSpPr>
      </xdr:nvSpPr>
      <xdr:spPr bwMode="auto">
        <a:xfrm>
          <a:off x="0" y="3247072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152400</xdr:colOff>
      <xdr:row>176</xdr:row>
      <xdr:rowOff>152400</xdr:rowOff>
    </xdr:to>
    <xdr:sp macro="" textlink="">
      <xdr:nvSpPr>
        <xdr:cNvPr id="14398" name="AutoShape 62" descr="Taken">
          <a:extLst>
            <a:ext uri="{FF2B5EF4-FFF2-40B4-BE49-F238E27FC236}">
              <a16:creationId xmlns:a16="http://schemas.microsoft.com/office/drawing/2014/main" id="{00000000-0008-0000-0200-00003E380000}"/>
            </a:ext>
          </a:extLst>
        </xdr:cNvPr>
        <xdr:cNvSpPr>
          <a:spLocks noChangeAspect="1" noChangeArrowheads="1"/>
        </xdr:cNvSpPr>
      </xdr:nvSpPr>
      <xdr:spPr bwMode="auto">
        <a:xfrm>
          <a:off x="0" y="3361372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5</xdr:col>
      <xdr:colOff>0</xdr:colOff>
      <xdr:row>7</xdr:row>
      <xdr:rowOff>0</xdr:rowOff>
    </xdr:from>
    <xdr:ext cx="152400" cy="152400"/>
    <xdr:sp macro="" textlink="">
      <xdr:nvSpPr>
        <xdr:cNvPr id="2" name="AutoShape 7" descr="Taken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4737100" y="15367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6</xdr:row>
      <xdr:rowOff>0</xdr:rowOff>
    </xdr:from>
    <xdr:ext cx="152400" cy="152400"/>
    <xdr:sp macro="" textlink="">
      <xdr:nvSpPr>
        <xdr:cNvPr id="5" name="AutoShape 7" descr="Taken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4737100" y="15367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152400" cy="152400"/>
    <xdr:sp macro="" textlink="">
      <xdr:nvSpPr>
        <xdr:cNvPr id="6" name="AutoShape 12" descr="In Progress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>
          <a:spLocks noChangeAspect="1" noChangeArrowheads="1"/>
        </xdr:cNvSpPr>
      </xdr:nvSpPr>
      <xdr:spPr bwMode="auto">
        <a:xfrm>
          <a:off x="4733925" y="29718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8</xdr:col>
      <xdr:colOff>47625</xdr:colOff>
      <xdr:row>1</xdr:row>
      <xdr:rowOff>28575</xdr:rowOff>
    </xdr:from>
    <xdr:to>
      <xdr:col>11</xdr:col>
      <xdr:colOff>123825</xdr:colOff>
      <xdr:row>4</xdr:row>
      <xdr:rowOff>76200</xdr:rowOff>
    </xdr:to>
    <xdr:sp macro="[0]!ReadingRange" textlink="">
      <xdr:nvSpPr>
        <xdr:cNvPr id="7" name="Flowchart: Alternate Process 6">
          <a:extLst>
            <a:ext uri="{FF2B5EF4-FFF2-40B4-BE49-F238E27FC236}">
              <a16:creationId xmlns:a16="http://schemas.microsoft.com/office/drawing/2014/main" id="{00000000-0008-0000-0200-000007000000}"/>
            </a:ext>
            <a:ext uri="{147F2762-F138-4A5C-976F-8EAC2B608ADB}">
              <a16:predDERef xmlns:a16="http://schemas.microsoft.com/office/drawing/2014/main" pred="{00000000-0008-0000-0200-000003000000}"/>
            </a:ext>
          </a:extLst>
        </xdr:cNvPr>
        <xdr:cNvSpPr/>
      </xdr:nvSpPr>
      <xdr:spPr>
        <a:xfrm>
          <a:off x="6753225" y="219075"/>
          <a:ext cx="1905000" cy="619125"/>
        </a:xfrm>
        <a:prstGeom prst="flowChartAlternateProcess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>
              <a:solidFill>
                <a:schemeClr val="bg1"/>
              </a:solidFill>
              <a:latin typeface="+mn-lt"/>
              <a:ea typeface="+mn-lt"/>
              <a:cs typeface="+mn-lt"/>
            </a:rPr>
            <a:t>Fill Degree Plan</a:t>
          </a:r>
        </a:p>
      </xdr:txBody>
    </xdr:sp>
    <xdr:clientData/>
  </xdr:twoCellAnchor>
  <xdr:twoCellAnchor>
    <xdr:from>
      <xdr:col>8</xdr:col>
      <xdr:colOff>47625</xdr:colOff>
      <xdr:row>4</xdr:row>
      <xdr:rowOff>171450</xdr:rowOff>
    </xdr:from>
    <xdr:to>
      <xdr:col>11</xdr:col>
      <xdr:colOff>139065</xdr:colOff>
      <xdr:row>8</xdr:row>
      <xdr:rowOff>148590</xdr:rowOff>
    </xdr:to>
    <xdr:sp macro="[0]!ClearHistory" textlink="">
      <xdr:nvSpPr>
        <xdr:cNvPr id="8" name="Flowchart: Alternate Process 7">
          <a:extLst>
            <a:ext uri="{FF2B5EF4-FFF2-40B4-BE49-F238E27FC236}">
              <a16:creationId xmlns:a16="http://schemas.microsoft.com/office/drawing/2014/main" id="{00000000-0008-0000-0200-000008000000}"/>
            </a:ext>
            <a:ext uri="{147F2762-F138-4A5C-976F-8EAC2B608ADB}">
              <a16:predDERef xmlns:a16="http://schemas.microsoft.com/office/drawing/2014/main" pred="{00000000-0008-0000-0200-000003000000}"/>
            </a:ext>
          </a:extLst>
        </xdr:cNvPr>
        <xdr:cNvSpPr/>
      </xdr:nvSpPr>
      <xdr:spPr>
        <a:xfrm>
          <a:off x="6753225" y="933450"/>
          <a:ext cx="1920240" cy="548640"/>
        </a:xfrm>
        <a:prstGeom prst="flowChartAlternateProcess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0">
              <a:solidFill>
                <a:schemeClr val="bg1"/>
              </a:solidFill>
              <a:latin typeface="+mn-lt"/>
              <a:ea typeface="+mn-lt"/>
              <a:cs typeface="+mn-lt"/>
            </a:rPr>
            <a:t>Clear History</a:t>
          </a:r>
        </a:p>
      </xdr:txBody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152400</xdr:colOff>
      <xdr:row>0</xdr:row>
      <xdr:rowOff>152400</xdr:rowOff>
    </xdr:to>
    <xdr:sp macro="" textlink="">
      <xdr:nvSpPr>
        <xdr:cNvPr id="14337" name="AutoShape 1" descr="Transferred">
          <a:extLst>
            <a:ext uri="{FF2B5EF4-FFF2-40B4-BE49-F238E27FC236}">
              <a16:creationId xmlns:a16="http://schemas.microsoft.com/office/drawing/2014/main" id="{F288D90C-D701-8F6F-0852-3BBF054C53F8}"/>
            </a:ext>
          </a:extLst>
        </xdr:cNvPr>
        <xdr:cNvSpPr>
          <a:spLocks noChangeAspect="1" noChangeArrowheads="1"/>
        </xdr:cNvSpPr>
      </xdr:nvSpPr>
      <xdr:spPr bwMode="auto">
        <a:xfrm>
          <a:off x="4733925" y="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</xdr:row>
      <xdr:rowOff>0</xdr:rowOff>
    </xdr:from>
    <xdr:to>
      <xdr:col>5</xdr:col>
      <xdr:colOff>152400</xdr:colOff>
      <xdr:row>1</xdr:row>
      <xdr:rowOff>152400</xdr:rowOff>
    </xdr:to>
    <xdr:sp macro="" textlink="">
      <xdr:nvSpPr>
        <xdr:cNvPr id="14338" name="AutoShape 2" descr="Transferred">
          <a:extLst>
            <a:ext uri="{FF2B5EF4-FFF2-40B4-BE49-F238E27FC236}">
              <a16:creationId xmlns:a16="http://schemas.microsoft.com/office/drawing/2014/main" id="{A676CC8A-2071-958F-5DF9-90801A93ECF4}"/>
            </a:ext>
          </a:extLst>
        </xdr:cNvPr>
        <xdr:cNvSpPr>
          <a:spLocks noChangeAspect="1" noChangeArrowheads="1"/>
        </xdr:cNvSpPr>
      </xdr:nvSpPr>
      <xdr:spPr bwMode="auto">
        <a:xfrm>
          <a:off x="4733925" y="31432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</xdr:row>
      <xdr:rowOff>0</xdr:rowOff>
    </xdr:from>
    <xdr:to>
      <xdr:col>5</xdr:col>
      <xdr:colOff>152400</xdr:colOff>
      <xdr:row>2</xdr:row>
      <xdr:rowOff>152400</xdr:rowOff>
    </xdr:to>
    <xdr:sp macro="" textlink="">
      <xdr:nvSpPr>
        <xdr:cNvPr id="14339" name="AutoShape 3" descr="Transferred">
          <a:extLst>
            <a:ext uri="{FF2B5EF4-FFF2-40B4-BE49-F238E27FC236}">
              <a16:creationId xmlns:a16="http://schemas.microsoft.com/office/drawing/2014/main" id="{6A6C5A79-B933-B910-437C-CC628108D625}"/>
            </a:ext>
          </a:extLst>
        </xdr:cNvPr>
        <xdr:cNvSpPr>
          <a:spLocks noChangeAspect="1" noChangeArrowheads="1"/>
        </xdr:cNvSpPr>
      </xdr:nvSpPr>
      <xdr:spPr bwMode="auto">
        <a:xfrm>
          <a:off x="4733925" y="6286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</xdr:row>
      <xdr:rowOff>0</xdr:rowOff>
    </xdr:from>
    <xdr:to>
      <xdr:col>5</xdr:col>
      <xdr:colOff>152400</xdr:colOff>
      <xdr:row>3</xdr:row>
      <xdr:rowOff>152400</xdr:rowOff>
    </xdr:to>
    <xdr:sp macro="" textlink="">
      <xdr:nvSpPr>
        <xdr:cNvPr id="14340" name="AutoShape 4" descr="Transferred">
          <a:extLst>
            <a:ext uri="{FF2B5EF4-FFF2-40B4-BE49-F238E27FC236}">
              <a16:creationId xmlns:a16="http://schemas.microsoft.com/office/drawing/2014/main" id="{984AA502-54C3-CF90-E060-0608EE184E99}"/>
            </a:ext>
          </a:extLst>
        </xdr:cNvPr>
        <xdr:cNvSpPr>
          <a:spLocks noChangeAspect="1" noChangeArrowheads="1"/>
        </xdr:cNvSpPr>
      </xdr:nvSpPr>
      <xdr:spPr bwMode="auto">
        <a:xfrm>
          <a:off x="4733925" y="9429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</xdr:row>
      <xdr:rowOff>0</xdr:rowOff>
    </xdr:from>
    <xdr:to>
      <xdr:col>5</xdr:col>
      <xdr:colOff>152400</xdr:colOff>
      <xdr:row>4</xdr:row>
      <xdr:rowOff>152400</xdr:rowOff>
    </xdr:to>
    <xdr:sp macro="" textlink="">
      <xdr:nvSpPr>
        <xdr:cNvPr id="14341" name="AutoShape 5" descr="In Progress">
          <a:extLst>
            <a:ext uri="{FF2B5EF4-FFF2-40B4-BE49-F238E27FC236}">
              <a16:creationId xmlns:a16="http://schemas.microsoft.com/office/drawing/2014/main" id="{56C96A77-F158-733E-B213-EE8748C57BB5}"/>
            </a:ext>
          </a:extLst>
        </xdr:cNvPr>
        <xdr:cNvSpPr>
          <a:spLocks noChangeAspect="1" noChangeArrowheads="1"/>
        </xdr:cNvSpPr>
      </xdr:nvSpPr>
      <xdr:spPr bwMode="auto">
        <a:xfrm>
          <a:off x="4733925" y="12573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</xdr:row>
      <xdr:rowOff>0</xdr:rowOff>
    </xdr:from>
    <xdr:to>
      <xdr:col>5</xdr:col>
      <xdr:colOff>152400</xdr:colOff>
      <xdr:row>6</xdr:row>
      <xdr:rowOff>152400</xdr:rowOff>
    </xdr:to>
    <xdr:sp macro="" textlink="">
      <xdr:nvSpPr>
        <xdr:cNvPr id="14342" name="AutoShape 6" descr="In Progress">
          <a:extLst>
            <a:ext uri="{FF2B5EF4-FFF2-40B4-BE49-F238E27FC236}">
              <a16:creationId xmlns:a16="http://schemas.microsoft.com/office/drawing/2014/main" id="{E00B59AB-9770-7E59-AD09-EC8742A81234}"/>
            </a:ext>
          </a:extLst>
        </xdr:cNvPr>
        <xdr:cNvSpPr>
          <a:spLocks noChangeAspect="1" noChangeArrowheads="1"/>
        </xdr:cNvSpPr>
      </xdr:nvSpPr>
      <xdr:spPr bwMode="auto">
        <a:xfrm>
          <a:off x="4733925" y="157162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</xdr:row>
      <xdr:rowOff>0</xdr:rowOff>
    </xdr:from>
    <xdr:to>
      <xdr:col>5</xdr:col>
      <xdr:colOff>152400</xdr:colOff>
      <xdr:row>7</xdr:row>
      <xdr:rowOff>152400</xdr:rowOff>
    </xdr:to>
    <xdr:sp macro="" textlink="">
      <xdr:nvSpPr>
        <xdr:cNvPr id="14343" name="AutoShape 7" descr="Transferred">
          <a:extLst>
            <a:ext uri="{FF2B5EF4-FFF2-40B4-BE49-F238E27FC236}">
              <a16:creationId xmlns:a16="http://schemas.microsoft.com/office/drawing/2014/main" id="{430ECEBB-2F86-8D0B-0938-3B8E6CB30093}"/>
            </a:ext>
          </a:extLst>
        </xdr:cNvPr>
        <xdr:cNvSpPr>
          <a:spLocks noChangeAspect="1" noChangeArrowheads="1"/>
        </xdr:cNvSpPr>
      </xdr:nvSpPr>
      <xdr:spPr bwMode="auto">
        <a:xfrm>
          <a:off x="4733925" y="18859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152400</xdr:colOff>
      <xdr:row>8</xdr:row>
      <xdr:rowOff>152400</xdr:rowOff>
    </xdr:to>
    <xdr:sp macro="" textlink="">
      <xdr:nvSpPr>
        <xdr:cNvPr id="14344" name="AutoShape 8" descr="Transferred">
          <a:extLst>
            <a:ext uri="{FF2B5EF4-FFF2-40B4-BE49-F238E27FC236}">
              <a16:creationId xmlns:a16="http://schemas.microsoft.com/office/drawing/2014/main" id="{513C2C7A-2AB8-FCB5-E419-C1F78BFAF1FD}"/>
            </a:ext>
          </a:extLst>
        </xdr:cNvPr>
        <xdr:cNvSpPr>
          <a:spLocks noChangeAspect="1" noChangeArrowheads="1"/>
        </xdr:cNvSpPr>
      </xdr:nvSpPr>
      <xdr:spPr bwMode="auto">
        <a:xfrm>
          <a:off x="4733925" y="22002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152400</xdr:colOff>
      <xdr:row>9</xdr:row>
      <xdr:rowOff>152400</xdr:rowOff>
    </xdr:to>
    <xdr:sp macro="" textlink="">
      <xdr:nvSpPr>
        <xdr:cNvPr id="14345" name="AutoShape 9" descr="Transferred">
          <a:extLst>
            <a:ext uri="{FF2B5EF4-FFF2-40B4-BE49-F238E27FC236}">
              <a16:creationId xmlns:a16="http://schemas.microsoft.com/office/drawing/2014/main" id="{C53CC0A4-0176-143E-6F85-56EDF10E1DF9}"/>
            </a:ext>
          </a:extLst>
        </xdr:cNvPr>
        <xdr:cNvSpPr>
          <a:spLocks noChangeAspect="1" noChangeArrowheads="1"/>
        </xdr:cNvSpPr>
      </xdr:nvSpPr>
      <xdr:spPr bwMode="auto">
        <a:xfrm>
          <a:off x="4733925" y="25146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</xdr:row>
      <xdr:rowOff>0</xdr:rowOff>
    </xdr:from>
    <xdr:to>
      <xdr:col>5</xdr:col>
      <xdr:colOff>152400</xdr:colOff>
      <xdr:row>10</xdr:row>
      <xdr:rowOff>152400</xdr:rowOff>
    </xdr:to>
    <xdr:sp macro="" textlink="">
      <xdr:nvSpPr>
        <xdr:cNvPr id="14346" name="AutoShape 10" descr="In Progress">
          <a:extLst>
            <a:ext uri="{FF2B5EF4-FFF2-40B4-BE49-F238E27FC236}">
              <a16:creationId xmlns:a16="http://schemas.microsoft.com/office/drawing/2014/main" id="{08D52F42-0398-E255-844E-F487B7E5F4C5}"/>
            </a:ext>
          </a:extLst>
        </xdr:cNvPr>
        <xdr:cNvSpPr>
          <a:spLocks noChangeAspect="1" noChangeArrowheads="1"/>
        </xdr:cNvSpPr>
      </xdr:nvSpPr>
      <xdr:spPr bwMode="auto">
        <a:xfrm>
          <a:off x="4733925" y="282892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</xdr:row>
      <xdr:rowOff>0</xdr:rowOff>
    </xdr:from>
    <xdr:to>
      <xdr:col>5</xdr:col>
      <xdr:colOff>152400</xdr:colOff>
      <xdr:row>11</xdr:row>
      <xdr:rowOff>152400</xdr:rowOff>
    </xdr:to>
    <xdr:sp macro="" textlink="">
      <xdr:nvSpPr>
        <xdr:cNvPr id="14347" name="AutoShape 11" descr="Transferred">
          <a:extLst>
            <a:ext uri="{FF2B5EF4-FFF2-40B4-BE49-F238E27FC236}">
              <a16:creationId xmlns:a16="http://schemas.microsoft.com/office/drawing/2014/main" id="{A1AB26AA-CB13-B0F4-081A-644758B9090D}"/>
            </a:ext>
          </a:extLst>
        </xdr:cNvPr>
        <xdr:cNvSpPr>
          <a:spLocks noChangeAspect="1" noChangeArrowheads="1"/>
        </xdr:cNvSpPr>
      </xdr:nvSpPr>
      <xdr:spPr bwMode="auto">
        <a:xfrm>
          <a:off x="4733925" y="31432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</xdr:row>
      <xdr:rowOff>0</xdr:rowOff>
    </xdr:from>
    <xdr:to>
      <xdr:col>5</xdr:col>
      <xdr:colOff>152400</xdr:colOff>
      <xdr:row>12</xdr:row>
      <xdr:rowOff>152400</xdr:rowOff>
    </xdr:to>
    <xdr:sp macro="" textlink="">
      <xdr:nvSpPr>
        <xdr:cNvPr id="14348" name="AutoShape 12" descr="Transferred">
          <a:extLst>
            <a:ext uri="{FF2B5EF4-FFF2-40B4-BE49-F238E27FC236}">
              <a16:creationId xmlns:a16="http://schemas.microsoft.com/office/drawing/2014/main" id="{F1889BBC-AF9C-8DE3-9146-4365BFD3181A}"/>
            </a:ext>
          </a:extLst>
        </xdr:cNvPr>
        <xdr:cNvSpPr>
          <a:spLocks noChangeAspect="1" noChangeArrowheads="1"/>
        </xdr:cNvSpPr>
      </xdr:nvSpPr>
      <xdr:spPr bwMode="auto">
        <a:xfrm>
          <a:off x="4733925" y="34575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</xdr:row>
      <xdr:rowOff>0</xdr:rowOff>
    </xdr:from>
    <xdr:to>
      <xdr:col>5</xdr:col>
      <xdr:colOff>152400</xdr:colOff>
      <xdr:row>13</xdr:row>
      <xdr:rowOff>152400</xdr:rowOff>
    </xdr:to>
    <xdr:sp macro="" textlink="">
      <xdr:nvSpPr>
        <xdr:cNvPr id="14349" name="AutoShape 13" descr="Transferred">
          <a:extLst>
            <a:ext uri="{FF2B5EF4-FFF2-40B4-BE49-F238E27FC236}">
              <a16:creationId xmlns:a16="http://schemas.microsoft.com/office/drawing/2014/main" id="{B18F6625-22EC-DF2D-B5BD-8051D0EA080A}"/>
            </a:ext>
          </a:extLst>
        </xdr:cNvPr>
        <xdr:cNvSpPr>
          <a:spLocks noChangeAspect="1" noChangeArrowheads="1"/>
        </xdr:cNvSpPr>
      </xdr:nvSpPr>
      <xdr:spPr bwMode="auto">
        <a:xfrm>
          <a:off x="4733925" y="37719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</xdr:row>
      <xdr:rowOff>0</xdr:rowOff>
    </xdr:from>
    <xdr:to>
      <xdr:col>5</xdr:col>
      <xdr:colOff>152400</xdr:colOff>
      <xdr:row>14</xdr:row>
      <xdr:rowOff>152400</xdr:rowOff>
    </xdr:to>
    <xdr:sp macro="" textlink="">
      <xdr:nvSpPr>
        <xdr:cNvPr id="14350" name="AutoShape 14" descr="Transferred">
          <a:extLst>
            <a:ext uri="{FF2B5EF4-FFF2-40B4-BE49-F238E27FC236}">
              <a16:creationId xmlns:a16="http://schemas.microsoft.com/office/drawing/2014/main" id="{6B5E0FD7-E9DD-CEB2-0BBC-87E25B181472}"/>
            </a:ext>
          </a:extLst>
        </xdr:cNvPr>
        <xdr:cNvSpPr>
          <a:spLocks noChangeAspect="1" noChangeArrowheads="1"/>
        </xdr:cNvSpPr>
      </xdr:nvSpPr>
      <xdr:spPr bwMode="auto">
        <a:xfrm>
          <a:off x="4733925" y="408622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152400</xdr:colOff>
      <xdr:row>15</xdr:row>
      <xdr:rowOff>152400</xdr:rowOff>
    </xdr:to>
    <xdr:sp macro="" textlink="">
      <xdr:nvSpPr>
        <xdr:cNvPr id="14351" name="AutoShape 15" descr="Transferred">
          <a:extLst>
            <a:ext uri="{FF2B5EF4-FFF2-40B4-BE49-F238E27FC236}">
              <a16:creationId xmlns:a16="http://schemas.microsoft.com/office/drawing/2014/main" id="{CFA70BDA-2340-E918-BEB5-530ED31A103A}"/>
            </a:ext>
          </a:extLst>
        </xdr:cNvPr>
        <xdr:cNvSpPr>
          <a:spLocks noChangeAspect="1" noChangeArrowheads="1"/>
        </xdr:cNvSpPr>
      </xdr:nvSpPr>
      <xdr:spPr bwMode="auto">
        <a:xfrm>
          <a:off x="4733925" y="44005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</xdr:row>
      <xdr:rowOff>0</xdr:rowOff>
    </xdr:from>
    <xdr:to>
      <xdr:col>5</xdr:col>
      <xdr:colOff>152400</xdr:colOff>
      <xdr:row>16</xdr:row>
      <xdr:rowOff>152400</xdr:rowOff>
    </xdr:to>
    <xdr:sp macro="" textlink="">
      <xdr:nvSpPr>
        <xdr:cNvPr id="14352" name="AutoShape 16" descr="Transferred">
          <a:extLst>
            <a:ext uri="{FF2B5EF4-FFF2-40B4-BE49-F238E27FC236}">
              <a16:creationId xmlns:a16="http://schemas.microsoft.com/office/drawing/2014/main" id="{EB0D420B-0CD9-6669-19B7-B6879378A8EE}"/>
            </a:ext>
          </a:extLst>
        </xdr:cNvPr>
        <xdr:cNvSpPr>
          <a:spLocks noChangeAspect="1" noChangeArrowheads="1"/>
        </xdr:cNvSpPr>
      </xdr:nvSpPr>
      <xdr:spPr bwMode="auto">
        <a:xfrm>
          <a:off x="4733925" y="47148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</xdr:row>
      <xdr:rowOff>0</xdr:rowOff>
    </xdr:from>
    <xdr:to>
      <xdr:col>5</xdr:col>
      <xdr:colOff>152400</xdr:colOff>
      <xdr:row>17</xdr:row>
      <xdr:rowOff>152400</xdr:rowOff>
    </xdr:to>
    <xdr:sp macro="" textlink="">
      <xdr:nvSpPr>
        <xdr:cNvPr id="14353" name="AutoShape 17" descr="Transferred">
          <a:extLst>
            <a:ext uri="{FF2B5EF4-FFF2-40B4-BE49-F238E27FC236}">
              <a16:creationId xmlns:a16="http://schemas.microsoft.com/office/drawing/2014/main" id="{2AF34B61-C2CF-32D8-C97E-AE8239E30E0D}"/>
            </a:ext>
          </a:extLst>
        </xdr:cNvPr>
        <xdr:cNvSpPr>
          <a:spLocks noChangeAspect="1" noChangeArrowheads="1"/>
        </xdr:cNvSpPr>
      </xdr:nvSpPr>
      <xdr:spPr bwMode="auto">
        <a:xfrm>
          <a:off x="4733925" y="50292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</xdr:row>
      <xdr:rowOff>0</xdr:rowOff>
    </xdr:from>
    <xdr:to>
      <xdr:col>5</xdr:col>
      <xdr:colOff>152400</xdr:colOff>
      <xdr:row>18</xdr:row>
      <xdr:rowOff>152400</xdr:rowOff>
    </xdr:to>
    <xdr:sp macro="" textlink="">
      <xdr:nvSpPr>
        <xdr:cNvPr id="14354" name="AutoShape 18" descr="Transferred">
          <a:extLst>
            <a:ext uri="{FF2B5EF4-FFF2-40B4-BE49-F238E27FC236}">
              <a16:creationId xmlns:a16="http://schemas.microsoft.com/office/drawing/2014/main" id="{04A2042D-18DF-92E8-F88F-38E975CAE377}"/>
            </a:ext>
          </a:extLst>
        </xdr:cNvPr>
        <xdr:cNvSpPr>
          <a:spLocks noChangeAspect="1" noChangeArrowheads="1"/>
        </xdr:cNvSpPr>
      </xdr:nvSpPr>
      <xdr:spPr bwMode="auto">
        <a:xfrm>
          <a:off x="4733925" y="534352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</xdr:row>
      <xdr:rowOff>0</xdr:rowOff>
    </xdr:from>
    <xdr:to>
      <xdr:col>5</xdr:col>
      <xdr:colOff>152400</xdr:colOff>
      <xdr:row>19</xdr:row>
      <xdr:rowOff>152400</xdr:rowOff>
    </xdr:to>
    <xdr:sp macro="" textlink="">
      <xdr:nvSpPr>
        <xdr:cNvPr id="14355" name="AutoShape 19" descr="Transferred">
          <a:extLst>
            <a:ext uri="{FF2B5EF4-FFF2-40B4-BE49-F238E27FC236}">
              <a16:creationId xmlns:a16="http://schemas.microsoft.com/office/drawing/2014/main" id="{951B3225-AA84-4799-DCB5-97F96F33C7B6}"/>
            </a:ext>
          </a:extLst>
        </xdr:cNvPr>
        <xdr:cNvSpPr>
          <a:spLocks noChangeAspect="1" noChangeArrowheads="1"/>
        </xdr:cNvSpPr>
      </xdr:nvSpPr>
      <xdr:spPr bwMode="auto">
        <a:xfrm>
          <a:off x="4733925" y="56578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</xdr:row>
      <xdr:rowOff>0</xdr:rowOff>
    </xdr:from>
    <xdr:to>
      <xdr:col>5</xdr:col>
      <xdr:colOff>152400</xdr:colOff>
      <xdr:row>20</xdr:row>
      <xdr:rowOff>152400</xdr:rowOff>
    </xdr:to>
    <xdr:sp macro="" textlink="">
      <xdr:nvSpPr>
        <xdr:cNvPr id="14356" name="AutoShape 20" descr="Transferred">
          <a:extLst>
            <a:ext uri="{FF2B5EF4-FFF2-40B4-BE49-F238E27FC236}">
              <a16:creationId xmlns:a16="http://schemas.microsoft.com/office/drawing/2014/main" id="{24C72E01-6DCE-46CA-FC02-575FA43DDDF7}"/>
            </a:ext>
          </a:extLst>
        </xdr:cNvPr>
        <xdr:cNvSpPr>
          <a:spLocks noChangeAspect="1" noChangeArrowheads="1"/>
        </xdr:cNvSpPr>
      </xdr:nvSpPr>
      <xdr:spPr bwMode="auto">
        <a:xfrm>
          <a:off x="4733925" y="59721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152400</xdr:colOff>
      <xdr:row>21</xdr:row>
      <xdr:rowOff>152400</xdr:rowOff>
    </xdr:to>
    <xdr:sp macro="" textlink="">
      <xdr:nvSpPr>
        <xdr:cNvPr id="14357" name="AutoShape 21" descr="In Progress">
          <a:extLst>
            <a:ext uri="{FF2B5EF4-FFF2-40B4-BE49-F238E27FC236}">
              <a16:creationId xmlns:a16="http://schemas.microsoft.com/office/drawing/2014/main" id="{4B6CEC6E-EBFD-2BFA-C3BD-58823A97139D}"/>
            </a:ext>
          </a:extLst>
        </xdr:cNvPr>
        <xdr:cNvSpPr>
          <a:spLocks noChangeAspect="1" noChangeArrowheads="1"/>
        </xdr:cNvSpPr>
      </xdr:nvSpPr>
      <xdr:spPr bwMode="auto">
        <a:xfrm>
          <a:off x="4733925" y="62865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</xdr:row>
      <xdr:rowOff>0</xdr:rowOff>
    </xdr:from>
    <xdr:to>
      <xdr:col>5</xdr:col>
      <xdr:colOff>152400</xdr:colOff>
      <xdr:row>22</xdr:row>
      <xdr:rowOff>152400</xdr:rowOff>
    </xdr:to>
    <xdr:sp macro="" textlink="">
      <xdr:nvSpPr>
        <xdr:cNvPr id="14358" name="AutoShape 22" descr="Transferred">
          <a:extLst>
            <a:ext uri="{FF2B5EF4-FFF2-40B4-BE49-F238E27FC236}">
              <a16:creationId xmlns:a16="http://schemas.microsoft.com/office/drawing/2014/main" id="{0974E520-5492-2286-6D9A-E251F385B13D}"/>
            </a:ext>
          </a:extLst>
        </xdr:cNvPr>
        <xdr:cNvSpPr>
          <a:spLocks noChangeAspect="1" noChangeArrowheads="1"/>
        </xdr:cNvSpPr>
      </xdr:nvSpPr>
      <xdr:spPr bwMode="auto">
        <a:xfrm>
          <a:off x="4733925" y="660082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</xdr:row>
      <xdr:rowOff>0</xdr:rowOff>
    </xdr:from>
    <xdr:to>
      <xdr:col>5</xdr:col>
      <xdr:colOff>152400</xdr:colOff>
      <xdr:row>23</xdr:row>
      <xdr:rowOff>152400</xdr:rowOff>
    </xdr:to>
    <xdr:sp macro="" textlink="">
      <xdr:nvSpPr>
        <xdr:cNvPr id="14359" name="AutoShape 23" descr="Transferred">
          <a:extLst>
            <a:ext uri="{FF2B5EF4-FFF2-40B4-BE49-F238E27FC236}">
              <a16:creationId xmlns:a16="http://schemas.microsoft.com/office/drawing/2014/main" id="{A2554FA3-9A2A-C682-5B8F-534E19C4C743}"/>
            </a:ext>
          </a:extLst>
        </xdr:cNvPr>
        <xdr:cNvSpPr>
          <a:spLocks noChangeAspect="1" noChangeArrowheads="1"/>
        </xdr:cNvSpPr>
      </xdr:nvSpPr>
      <xdr:spPr bwMode="auto">
        <a:xfrm>
          <a:off x="4733925" y="69151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</xdr:row>
      <xdr:rowOff>0</xdr:rowOff>
    </xdr:from>
    <xdr:to>
      <xdr:col>5</xdr:col>
      <xdr:colOff>152400</xdr:colOff>
      <xdr:row>24</xdr:row>
      <xdr:rowOff>152400</xdr:rowOff>
    </xdr:to>
    <xdr:sp macro="" textlink="">
      <xdr:nvSpPr>
        <xdr:cNvPr id="14360" name="AutoShape 24" descr="Transferred">
          <a:extLst>
            <a:ext uri="{FF2B5EF4-FFF2-40B4-BE49-F238E27FC236}">
              <a16:creationId xmlns:a16="http://schemas.microsoft.com/office/drawing/2014/main" id="{60A9809D-7BCE-4566-352A-B4B46658B168}"/>
            </a:ext>
          </a:extLst>
        </xdr:cNvPr>
        <xdr:cNvSpPr>
          <a:spLocks noChangeAspect="1" noChangeArrowheads="1"/>
        </xdr:cNvSpPr>
      </xdr:nvSpPr>
      <xdr:spPr bwMode="auto">
        <a:xfrm>
          <a:off x="4733925" y="72294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</xdr:row>
      <xdr:rowOff>0</xdr:rowOff>
    </xdr:from>
    <xdr:to>
      <xdr:col>5</xdr:col>
      <xdr:colOff>152400</xdr:colOff>
      <xdr:row>25</xdr:row>
      <xdr:rowOff>152400</xdr:rowOff>
    </xdr:to>
    <xdr:sp macro="" textlink="">
      <xdr:nvSpPr>
        <xdr:cNvPr id="14361" name="AutoShape 25" descr="Transferred">
          <a:extLst>
            <a:ext uri="{FF2B5EF4-FFF2-40B4-BE49-F238E27FC236}">
              <a16:creationId xmlns:a16="http://schemas.microsoft.com/office/drawing/2014/main" id="{C9069B2C-23A2-1DCF-3F85-9A2BA453A4A1}"/>
            </a:ext>
          </a:extLst>
        </xdr:cNvPr>
        <xdr:cNvSpPr>
          <a:spLocks noChangeAspect="1" noChangeArrowheads="1"/>
        </xdr:cNvSpPr>
      </xdr:nvSpPr>
      <xdr:spPr bwMode="auto">
        <a:xfrm>
          <a:off x="4733925" y="75438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</xdr:row>
      <xdr:rowOff>0</xdr:rowOff>
    </xdr:from>
    <xdr:to>
      <xdr:col>5</xdr:col>
      <xdr:colOff>152400</xdr:colOff>
      <xdr:row>26</xdr:row>
      <xdr:rowOff>152400</xdr:rowOff>
    </xdr:to>
    <xdr:sp macro="" textlink="">
      <xdr:nvSpPr>
        <xdr:cNvPr id="14362" name="AutoShape 26" descr="Transferred">
          <a:extLst>
            <a:ext uri="{FF2B5EF4-FFF2-40B4-BE49-F238E27FC236}">
              <a16:creationId xmlns:a16="http://schemas.microsoft.com/office/drawing/2014/main" id="{22C33F07-9745-503B-FEFF-A3F605D1F746}"/>
            </a:ext>
          </a:extLst>
        </xdr:cNvPr>
        <xdr:cNvSpPr>
          <a:spLocks noChangeAspect="1" noChangeArrowheads="1"/>
        </xdr:cNvSpPr>
      </xdr:nvSpPr>
      <xdr:spPr bwMode="auto">
        <a:xfrm>
          <a:off x="4733925" y="785812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</xdr:row>
      <xdr:rowOff>0</xdr:rowOff>
    </xdr:from>
    <xdr:to>
      <xdr:col>5</xdr:col>
      <xdr:colOff>152400</xdr:colOff>
      <xdr:row>27</xdr:row>
      <xdr:rowOff>152400</xdr:rowOff>
    </xdr:to>
    <xdr:sp macro="" textlink="">
      <xdr:nvSpPr>
        <xdr:cNvPr id="14363" name="AutoShape 27" descr="Transferred">
          <a:extLst>
            <a:ext uri="{FF2B5EF4-FFF2-40B4-BE49-F238E27FC236}">
              <a16:creationId xmlns:a16="http://schemas.microsoft.com/office/drawing/2014/main" id="{09A81AFF-4385-F6BA-75B1-D05279A75D1A}"/>
            </a:ext>
          </a:extLst>
        </xdr:cNvPr>
        <xdr:cNvSpPr>
          <a:spLocks noChangeAspect="1" noChangeArrowheads="1"/>
        </xdr:cNvSpPr>
      </xdr:nvSpPr>
      <xdr:spPr bwMode="auto">
        <a:xfrm>
          <a:off x="4733925" y="81724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152400</xdr:colOff>
      <xdr:row>0</xdr:row>
      <xdr:rowOff>152400</xdr:rowOff>
    </xdr:to>
    <xdr:sp macro="" textlink="">
      <xdr:nvSpPr>
        <xdr:cNvPr id="4" name="AutoShape 1" descr="Transferred">
          <a:extLst>
            <a:ext uri="{FF2B5EF4-FFF2-40B4-BE49-F238E27FC236}">
              <a16:creationId xmlns:a16="http://schemas.microsoft.com/office/drawing/2014/main" id="{7F5DDE4F-469C-42DD-AFC1-4C18F0D89C4E}"/>
            </a:ext>
          </a:extLst>
        </xdr:cNvPr>
        <xdr:cNvSpPr>
          <a:spLocks noChangeAspect="1" noChangeArrowheads="1"/>
        </xdr:cNvSpPr>
      </xdr:nvSpPr>
      <xdr:spPr bwMode="auto">
        <a:xfrm>
          <a:off x="3714750" y="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</xdr:row>
      <xdr:rowOff>0</xdr:rowOff>
    </xdr:from>
    <xdr:to>
      <xdr:col>5</xdr:col>
      <xdr:colOff>152400</xdr:colOff>
      <xdr:row>1</xdr:row>
      <xdr:rowOff>152400</xdr:rowOff>
    </xdr:to>
    <xdr:sp macro="" textlink="">
      <xdr:nvSpPr>
        <xdr:cNvPr id="9" name="AutoShape 2" descr="Taken">
          <a:extLst>
            <a:ext uri="{FF2B5EF4-FFF2-40B4-BE49-F238E27FC236}">
              <a16:creationId xmlns:a16="http://schemas.microsoft.com/office/drawing/2014/main" id="{DD090966-91E1-4857-9A69-B417C08A712C}"/>
            </a:ext>
          </a:extLst>
        </xdr:cNvPr>
        <xdr:cNvSpPr>
          <a:spLocks noChangeAspect="1" noChangeArrowheads="1"/>
        </xdr:cNvSpPr>
      </xdr:nvSpPr>
      <xdr:spPr bwMode="auto">
        <a:xfrm>
          <a:off x="3714750" y="58102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</xdr:row>
      <xdr:rowOff>0</xdr:rowOff>
    </xdr:from>
    <xdr:to>
      <xdr:col>5</xdr:col>
      <xdr:colOff>152400</xdr:colOff>
      <xdr:row>2</xdr:row>
      <xdr:rowOff>152400</xdr:rowOff>
    </xdr:to>
    <xdr:sp macro="" textlink="">
      <xdr:nvSpPr>
        <xdr:cNvPr id="10" name="AutoShape 3" descr="Taken">
          <a:extLst>
            <a:ext uri="{FF2B5EF4-FFF2-40B4-BE49-F238E27FC236}">
              <a16:creationId xmlns:a16="http://schemas.microsoft.com/office/drawing/2014/main" id="{1936B47B-CFD8-4A78-A0DC-3E288B36921E}"/>
            </a:ext>
          </a:extLst>
        </xdr:cNvPr>
        <xdr:cNvSpPr>
          <a:spLocks noChangeAspect="1" noChangeArrowheads="1"/>
        </xdr:cNvSpPr>
      </xdr:nvSpPr>
      <xdr:spPr bwMode="auto">
        <a:xfrm>
          <a:off x="3714750" y="1543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</xdr:row>
      <xdr:rowOff>0</xdr:rowOff>
    </xdr:from>
    <xdr:to>
      <xdr:col>5</xdr:col>
      <xdr:colOff>152400</xdr:colOff>
      <xdr:row>3</xdr:row>
      <xdr:rowOff>152400</xdr:rowOff>
    </xdr:to>
    <xdr:sp macro="" textlink="">
      <xdr:nvSpPr>
        <xdr:cNvPr id="11" name="AutoShape 4" descr="Taken">
          <a:extLst>
            <a:ext uri="{FF2B5EF4-FFF2-40B4-BE49-F238E27FC236}">
              <a16:creationId xmlns:a16="http://schemas.microsoft.com/office/drawing/2014/main" id="{326C508D-7B8C-471D-A474-427D4B9A3675}"/>
            </a:ext>
          </a:extLst>
        </xdr:cNvPr>
        <xdr:cNvSpPr>
          <a:spLocks noChangeAspect="1" noChangeArrowheads="1"/>
        </xdr:cNvSpPr>
      </xdr:nvSpPr>
      <xdr:spPr bwMode="auto">
        <a:xfrm>
          <a:off x="3714750" y="26955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</xdr:row>
      <xdr:rowOff>0</xdr:rowOff>
    </xdr:from>
    <xdr:to>
      <xdr:col>5</xdr:col>
      <xdr:colOff>152400</xdr:colOff>
      <xdr:row>4</xdr:row>
      <xdr:rowOff>152400</xdr:rowOff>
    </xdr:to>
    <xdr:sp macro="" textlink="">
      <xdr:nvSpPr>
        <xdr:cNvPr id="12" name="AutoShape 5" descr="Taken">
          <a:extLst>
            <a:ext uri="{FF2B5EF4-FFF2-40B4-BE49-F238E27FC236}">
              <a16:creationId xmlns:a16="http://schemas.microsoft.com/office/drawing/2014/main" id="{D25F2A32-71B0-4915-BD24-5DCCB91FADA6}"/>
            </a:ext>
          </a:extLst>
        </xdr:cNvPr>
        <xdr:cNvSpPr>
          <a:spLocks noChangeAspect="1" noChangeArrowheads="1"/>
        </xdr:cNvSpPr>
      </xdr:nvSpPr>
      <xdr:spPr bwMode="auto">
        <a:xfrm>
          <a:off x="3714750" y="34671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</xdr:row>
      <xdr:rowOff>0</xdr:rowOff>
    </xdr:from>
    <xdr:to>
      <xdr:col>5</xdr:col>
      <xdr:colOff>152400</xdr:colOff>
      <xdr:row>4</xdr:row>
      <xdr:rowOff>152400</xdr:rowOff>
    </xdr:to>
    <xdr:sp macro="" textlink="">
      <xdr:nvSpPr>
        <xdr:cNvPr id="13" name="AutoShape 6" descr="Taken">
          <a:extLst>
            <a:ext uri="{FF2B5EF4-FFF2-40B4-BE49-F238E27FC236}">
              <a16:creationId xmlns:a16="http://schemas.microsoft.com/office/drawing/2014/main" id="{A9250FD0-3DC1-46F2-8492-CA7C6DECB27B}"/>
            </a:ext>
          </a:extLst>
        </xdr:cNvPr>
        <xdr:cNvSpPr>
          <a:spLocks noChangeAspect="1" noChangeArrowheads="1"/>
        </xdr:cNvSpPr>
      </xdr:nvSpPr>
      <xdr:spPr bwMode="auto">
        <a:xfrm>
          <a:off x="3714750" y="34671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152400</xdr:colOff>
      <xdr:row>8</xdr:row>
      <xdr:rowOff>152400</xdr:rowOff>
    </xdr:to>
    <xdr:sp macro="" textlink="">
      <xdr:nvSpPr>
        <xdr:cNvPr id="14" name="AutoShape 7" descr="Taken">
          <a:extLst>
            <a:ext uri="{FF2B5EF4-FFF2-40B4-BE49-F238E27FC236}">
              <a16:creationId xmlns:a16="http://schemas.microsoft.com/office/drawing/2014/main" id="{5DAA795E-9D06-4B03-969B-E47BF9AF6256}"/>
            </a:ext>
          </a:extLst>
        </xdr:cNvPr>
        <xdr:cNvSpPr>
          <a:spLocks noChangeAspect="1" noChangeArrowheads="1"/>
        </xdr:cNvSpPr>
      </xdr:nvSpPr>
      <xdr:spPr bwMode="auto">
        <a:xfrm>
          <a:off x="3714750" y="61626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152400</xdr:colOff>
      <xdr:row>9</xdr:row>
      <xdr:rowOff>152400</xdr:rowOff>
    </xdr:to>
    <xdr:sp macro="" textlink="">
      <xdr:nvSpPr>
        <xdr:cNvPr id="15" name="AutoShape 8" descr="In Progress">
          <a:extLst>
            <a:ext uri="{FF2B5EF4-FFF2-40B4-BE49-F238E27FC236}">
              <a16:creationId xmlns:a16="http://schemas.microsoft.com/office/drawing/2014/main" id="{7519A5D5-47AD-4CAB-948A-8EDD42EAEEFA}"/>
            </a:ext>
          </a:extLst>
        </xdr:cNvPr>
        <xdr:cNvSpPr>
          <a:spLocks noChangeAspect="1" noChangeArrowheads="1"/>
        </xdr:cNvSpPr>
      </xdr:nvSpPr>
      <xdr:spPr bwMode="auto">
        <a:xfrm>
          <a:off x="3714750" y="71247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</xdr:row>
      <xdr:rowOff>0</xdr:rowOff>
    </xdr:from>
    <xdr:to>
      <xdr:col>5</xdr:col>
      <xdr:colOff>152400</xdr:colOff>
      <xdr:row>10</xdr:row>
      <xdr:rowOff>152400</xdr:rowOff>
    </xdr:to>
    <xdr:sp macro="" textlink="">
      <xdr:nvSpPr>
        <xdr:cNvPr id="16" name="AutoShape 9" descr="In Progress">
          <a:extLst>
            <a:ext uri="{FF2B5EF4-FFF2-40B4-BE49-F238E27FC236}">
              <a16:creationId xmlns:a16="http://schemas.microsoft.com/office/drawing/2014/main" id="{0CF0508D-1DB5-45FF-9980-9BA3D8B4C006}"/>
            </a:ext>
          </a:extLst>
        </xdr:cNvPr>
        <xdr:cNvSpPr>
          <a:spLocks noChangeAspect="1" noChangeArrowheads="1"/>
        </xdr:cNvSpPr>
      </xdr:nvSpPr>
      <xdr:spPr bwMode="auto">
        <a:xfrm>
          <a:off x="3714750" y="789622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</xdr:row>
      <xdr:rowOff>0</xdr:rowOff>
    </xdr:from>
    <xdr:to>
      <xdr:col>5</xdr:col>
      <xdr:colOff>152400</xdr:colOff>
      <xdr:row>11</xdr:row>
      <xdr:rowOff>152400</xdr:rowOff>
    </xdr:to>
    <xdr:sp macro="" textlink="">
      <xdr:nvSpPr>
        <xdr:cNvPr id="17" name="AutoShape 10" descr="In Progress">
          <a:extLst>
            <a:ext uri="{FF2B5EF4-FFF2-40B4-BE49-F238E27FC236}">
              <a16:creationId xmlns:a16="http://schemas.microsoft.com/office/drawing/2014/main" id="{8F6220D3-244D-4501-8B1B-CF6EAA7BFB48}"/>
            </a:ext>
          </a:extLst>
        </xdr:cNvPr>
        <xdr:cNvSpPr>
          <a:spLocks noChangeAspect="1" noChangeArrowheads="1"/>
        </xdr:cNvSpPr>
      </xdr:nvSpPr>
      <xdr:spPr bwMode="auto">
        <a:xfrm>
          <a:off x="3714750" y="86677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</xdr:row>
      <xdr:rowOff>0</xdr:rowOff>
    </xdr:from>
    <xdr:to>
      <xdr:col>5</xdr:col>
      <xdr:colOff>152400</xdr:colOff>
      <xdr:row>12</xdr:row>
      <xdr:rowOff>152400</xdr:rowOff>
    </xdr:to>
    <xdr:sp macro="" textlink="">
      <xdr:nvSpPr>
        <xdr:cNvPr id="18" name="AutoShape 11" descr="Taken">
          <a:extLst>
            <a:ext uri="{FF2B5EF4-FFF2-40B4-BE49-F238E27FC236}">
              <a16:creationId xmlns:a16="http://schemas.microsoft.com/office/drawing/2014/main" id="{90E0A957-4A91-438C-8A62-967D45F3F716}"/>
            </a:ext>
          </a:extLst>
        </xdr:cNvPr>
        <xdr:cNvSpPr>
          <a:spLocks noChangeAspect="1" noChangeArrowheads="1"/>
        </xdr:cNvSpPr>
      </xdr:nvSpPr>
      <xdr:spPr bwMode="auto">
        <a:xfrm>
          <a:off x="3714750" y="94392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</xdr:row>
      <xdr:rowOff>0</xdr:rowOff>
    </xdr:from>
    <xdr:to>
      <xdr:col>5</xdr:col>
      <xdr:colOff>152400</xdr:colOff>
      <xdr:row>13</xdr:row>
      <xdr:rowOff>152400</xdr:rowOff>
    </xdr:to>
    <xdr:sp macro="" textlink="">
      <xdr:nvSpPr>
        <xdr:cNvPr id="19" name="AutoShape 12" descr="In Progress">
          <a:extLst>
            <a:ext uri="{FF2B5EF4-FFF2-40B4-BE49-F238E27FC236}">
              <a16:creationId xmlns:a16="http://schemas.microsoft.com/office/drawing/2014/main" id="{20660689-8EC1-4D02-A498-2038EC4D4811}"/>
            </a:ext>
          </a:extLst>
        </xdr:cNvPr>
        <xdr:cNvSpPr>
          <a:spLocks noChangeAspect="1" noChangeArrowheads="1"/>
        </xdr:cNvSpPr>
      </xdr:nvSpPr>
      <xdr:spPr bwMode="auto">
        <a:xfrm>
          <a:off x="3714750" y="102108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</xdr:row>
      <xdr:rowOff>0</xdr:rowOff>
    </xdr:from>
    <xdr:to>
      <xdr:col>5</xdr:col>
      <xdr:colOff>152400</xdr:colOff>
      <xdr:row>14</xdr:row>
      <xdr:rowOff>152400</xdr:rowOff>
    </xdr:to>
    <xdr:sp macro="" textlink="">
      <xdr:nvSpPr>
        <xdr:cNvPr id="20" name="AutoShape 13" descr="Taken">
          <a:extLst>
            <a:ext uri="{FF2B5EF4-FFF2-40B4-BE49-F238E27FC236}">
              <a16:creationId xmlns:a16="http://schemas.microsoft.com/office/drawing/2014/main" id="{EABEFE12-3108-4E50-8E6A-C63C692CFBE5}"/>
            </a:ext>
          </a:extLst>
        </xdr:cNvPr>
        <xdr:cNvSpPr>
          <a:spLocks noChangeAspect="1" noChangeArrowheads="1"/>
        </xdr:cNvSpPr>
      </xdr:nvSpPr>
      <xdr:spPr bwMode="auto">
        <a:xfrm>
          <a:off x="3714750" y="1117282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152400</xdr:colOff>
      <xdr:row>15</xdr:row>
      <xdr:rowOff>152400</xdr:rowOff>
    </xdr:to>
    <xdr:sp macro="" textlink="">
      <xdr:nvSpPr>
        <xdr:cNvPr id="21" name="AutoShape 14" descr="Taken">
          <a:extLst>
            <a:ext uri="{FF2B5EF4-FFF2-40B4-BE49-F238E27FC236}">
              <a16:creationId xmlns:a16="http://schemas.microsoft.com/office/drawing/2014/main" id="{E1AD6F49-2DFD-4F5D-8B17-5AD5958507B7}"/>
            </a:ext>
          </a:extLst>
        </xdr:cNvPr>
        <xdr:cNvSpPr>
          <a:spLocks noChangeAspect="1" noChangeArrowheads="1"/>
        </xdr:cNvSpPr>
      </xdr:nvSpPr>
      <xdr:spPr bwMode="auto">
        <a:xfrm>
          <a:off x="3714750" y="119443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</xdr:row>
      <xdr:rowOff>0</xdr:rowOff>
    </xdr:from>
    <xdr:to>
      <xdr:col>5</xdr:col>
      <xdr:colOff>152400</xdr:colOff>
      <xdr:row>16</xdr:row>
      <xdr:rowOff>152400</xdr:rowOff>
    </xdr:to>
    <xdr:sp macro="" textlink="">
      <xdr:nvSpPr>
        <xdr:cNvPr id="22" name="AutoShape 15" descr="Taken">
          <a:extLst>
            <a:ext uri="{FF2B5EF4-FFF2-40B4-BE49-F238E27FC236}">
              <a16:creationId xmlns:a16="http://schemas.microsoft.com/office/drawing/2014/main" id="{07395111-8DCE-4669-B607-48FB611E604A}"/>
            </a:ext>
          </a:extLst>
        </xdr:cNvPr>
        <xdr:cNvSpPr>
          <a:spLocks noChangeAspect="1" noChangeArrowheads="1"/>
        </xdr:cNvSpPr>
      </xdr:nvSpPr>
      <xdr:spPr bwMode="auto">
        <a:xfrm>
          <a:off x="3714750" y="129063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</xdr:row>
      <xdr:rowOff>0</xdr:rowOff>
    </xdr:from>
    <xdr:to>
      <xdr:col>5</xdr:col>
      <xdr:colOff>152400</xdr:colOff>
      <xdr:row>17</xdr:row>
      <xdr:rowOff>152400</xdr:rowOff>
    </xdr:to>
    <xdr:sp macro="" textlink="">
      <xdr:nvSpPr>
        <xdr:cNvPr id="23" name="AutoShape 16" descr="Transferred">
          <a:extLst>
            <a:ext uri="{FF2B5EF4-FFF2-40B4-BE49-F238E27FC236}">
              <a16:creationId xmlns:a16="http://schemas.microsoft.com/office/drawing/2014/main" id="{0DC067A9-5C8F-4213-8088-2386071368A2}"/>
            </a:ext>
          </a:extLst>
        </xdr:cNvPr>
        <xdr:cNvSpPr>
          <a:spLocks noChangeAspect="1" noChangeArrowheads="1"/>
        </xdr:cNvSpPr>
      </xdr:nvSpPr>
      <xdr:spPr bwMode="auto">
        <a:xfrm>
          <a:off x="3714750" y="136779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</xdr:row>
      <xdr:rowOff>0</xdr:rowOff>
    </xdr:from>
    <xdr:to>
      <xdr:col>5</xdr:col>
      <xdr:colOff>152400</xdr:colOff>
      <xdr:row>18</xdr:row>
      <xdr:rowOff>152400</xdr:rowOff>
    </xdr:to>
    <xdr:sp macro="" textlink="">
      <xdr:nvSpPr>
        <xdr:cNvPr id="24" name="AutoShape 17" descr="Taken">
          <a:extLst>
            <a:ext uri="{FF2B5EF4-FFF2-40B4-BE49-F238E27FC236}">
              <a16:creationId xmlns:a16="http://schemas.microsoft.com/office/drawing/2014/main" id="{124E27B3-F2D4-4371-899B-70755C377006}"/>
            </a:ext>
          </a:extLst>
        </xdr:cNvPr>
        <xdr:cNvSpPr>
          <a:spLocks noChangeAspect="1" noChangeArrowheads="1"/>
        </xdr:cNvSpPr>
      </xdr:nvSpPr>
      <xdr:spPr bwMode="auto">
        <a:xfrm>
          <a:off x="3714750" y="1463992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</xdr:row>
      <xdr:rowOff>0</xdr:rowOff>
    </xdr:from>
    <xdr:to>
      <xdr:col>5</xdr:col>
      <xdr:colOff>152400</xdr:colOff>
      <xdr:row>19</xdr:row>
      <xdr:rowOff>152400</xdr:rowOff>
    </xdr:to>
    <xdr:sp macro="" textlink="">
      <xdr:nvSpPr>
        <xdr:cNvPr id="25" name="AutoShape 18" descr="Taken">
          <a:extLst>
            <a:ext uri="{FF2B5EF4-FFF2-40B4-BE49-F238E27FC236}">
              <a16:creationId xmlns:a16="http://schemas.microsoft.com/office/drawing/2014/main" id="{61F2C3C0-6DAD-4E21-A42D-348C5FE7CC9F}"/>
            </a:ext>
          </a:extLst>
        </xdr:cNvPr>
        <xdr:cNvSpPr>
          <a:spLocks noChangeAspect="1" noChangeArrowheads="1"/>
        </xdr:cNvSpPr>
      </xdr:nvSpPr>
      <xdr:spPr bwMode="auto">
        <a:xfrm>
          <a:off x="3714750" y="154114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152400</xdr:colOff>
      <xdr:row>21</xdr:row>
      <xdr:rowOff>152400</xdr:rowOff>
    </xdr:to>
    <xdr:sp macro="" textlink="">
      <xdr:nvSpPr>
        <xdr:cNvPr id="26" name="AutoShape 19" descr="Taken">
          <a:extLst>
            <a:ext uri="{FF2B5EF4-FFF2-40B4-BE49-F238E27FC236}">
              <a16:creationId xmlns:a16="http://schemas.microsoft.com/office/drawing/2014/main" id="{0F831995-1037-4026-8038-30C86FCB295E}"/>
            </a:ext>
          </a:extLst>
        </xdr:cNvPr>
        <xdr:cNvSpPr>
          <a:spLocks noChangeAspect="1" noChangeArrowheads="1"/>
        </xdr:cNvSpPr>
      </xdr:nvSpPr>
      <xdr:spPr bwMode="auto">
        <a:xfrm>
          <a:off x="3714750" y="173355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</xdr:row>
      <xdr:rowOff>0</xdr:rowOff>
    </xdr:from>
    <xdr:to>
      <xdr:col>5</xdr:col>
      <xdr:colOff>152400</xdr:colOff>
      <xdr:row>22</xdr:row>
      <xdr:rowOff>152400</xdr:rowOff>
    </xdr:to>
    <xdr:sp macro="" textlink="">
      <xdr:nvSpPr>
        <xdr:cNvPr id="27" name="AutoShape 20" descr="Transferred">
          <a:extLst>
            <a:ext uri="{FF2B5EF4-FFF2-40B4-BE49-F238E27FC236}">
              <a16:creationId xmlns:a16="http://schemas.microsoft.com/office/drawing/2014/main" id="{4F442E4F-3E07-488D-AC53-9EB2CF4A6933}"/>
            </a:ext>
          </a:extLst>
        </xdr:cNvPr>
        <xdr:cNvSpPr>
          <a:spLocks noChangeAspect="1" noChangeArrowheads="1"/>
        </xdr:cNvSpPr>
      </xdr:nvSpPr>
      <xdr:spPr bwMode="auto">
        <a:xfrm>
          <a:off x="3714750" y="1791652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</xdr:row>
      <xdr:rowOff>0</xdr:rowOff>
    </xdr:from>
    <xdr:to>
      <xdr:col>5</xdr:col>
      <xdr:colOff>152400</xdr:colOff>
      <xdr:row>23</xdr:row>
      <xdr:rowOff>152400</xdr:rowOff>
    </xdr:to>
    <xdr:sp macro="" textlink="">
      <xdr:nvSpPr>
        <xdr:cNvPr id="28" name="AutoShape 21" descr="Taken">
          <a:extLst>
            <a:ext uri="{FF2B5EF4-FFF2-40B4-BE49-F238E27FC236}">
              <a16:creationId xmlns:a16="http://schemas.microsoft.com/office/drawing/2014/main" id="{11C3A605-F62F-4BC2-B8E4-C0D7DC1241BB}"/>
            </a:ext>
          </a:extLst>
        </xdr:cNvPr>
        <xdr:cNvSpPr>
          <a:spLocks noChangeAspect="1" noChangeArrowheads="1"/>
        </xdr:cNvSpPr>
      </xdr:nvSpPr>
      <xdr:spPr bwMode="auto">
        <a:xfrm>
          <a:off x="3714750" y="19069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</xdr:row>
      <xdr:rowOff>0</xdr:rowOff>
    </xdr:from>
    <xdr:to>
      <xdr:col>5</xdr:col>
      <xdr:colOff>152400</xdr:colOff>
      <xdr:row>24</xdr:row>
      <xdr:rowOff>152400</xdr:rowOff>
    </xdr:to>
    <xdr:sp macro="" textlink="">
      <xdr:nvSpPr>
        <xdr:cNvPr id="29" name="AutoShape 22" descr="Transferred">
          <a:extLst>
            <a:ext uri="{FF2B5EF4-FFF2-40B4-BE49-F238E27FC236}">
              <a16:creationId xmlns:a16="http://schemas.microsoft.com/office/drawing/2014/main" id="{3CD2DC0F-91CF-4A4B-B114-56EBD5BB654C}"/>
            </a:ext>
          </a:extLst>
        </xdr:cNvPr>
        <xdr:cNvSpPr>
          <a:spLocks noChangeAspect="1" noChangeArrowheads="1"/>
        </xdr:cNvSpPr>
      </xdr:nvSpPr>
      <xdr:spPr bwMode="auto">
        <a:xfrm>
          <a:off x="3714750" y="200310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</xdr:row>
      <xdr:rowOff>0</xdr:rowOff>
    </xdr:from>
    <xdr:to>
      <xdr:col>5</xdr:col>
      <xdr:colOff>152400</xdr:colOff>
      <xdr:row>25</xdr:row>
      <xdr:rowOff>152400</xdr:rowOff>
    </xdr:to>
    <xdr:sp macro="" textlink="">
      <xdr:nvSpPr>
        <xdr:cNvPr id="30" name="AutoShape 23" descr="Transferred">
          <a:extLst>
            <a:ext uri="{FF2B5EF4-FFF2-40B4-BE49-F238E27FC236}">
              <a16:creationId xmlns:a16="http://schemas.microsoft.com/office/drawing/2014/main" id="{50E01ECC-2BEB-44B5-975B-5B99D6293BE2}"/>
            </a:ext>
          </a:extLst>
        </xdr:cNvPr>
        <xdr:cNvSpPr>
          <a:spLocks noChangeAspect="1" noChangeArrowheads="1"/>
        </xdr:cNvSpPr>
      </xdr:nvSpPr>
      <xdr:spPr bwMode="auto">
        <a:xfrm>
          <a:off x="3714750" y="211836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</xdr:row>
      <xdr:rowOff>0</xdr:rowOff>
    </xdr:from>
    <xdr:to>
      <xdr:col>5</xdr:col>
      <xdr:colOff>152400</xdr:colOff>
      <xdr:row>26</xdr:row>
      <xdr:rowOff>152400</xdr:rowOff>
    </xdr:to>
    <xdr:sp macro="" textlink="">
      <xdr:nvSpPr>
        <xdr:cNvPr id="31" name="AutoShape 24" descr="Taken">
          <a:extLst>
            <a:ext uri="{FF2B5EF4-FFF2-40B4-BE49-F238E27FC236}">
              <a16:creationId xmlns:a16="http://schemas.microsoft.com/office/drawing/2014/main" id="{C50788C0-2427-457A-AC51-BFC3ADC24D7E}"/>
            </a:ext>
          </a:extLst>
        </xdr:cNvPr>
        <xdr:cNvSpPr>
          <a:spLocks noChangeAspect="1" noChangeArrowheads="1"/>
        </xdr:cNvSpPr>
      </xdr:nvSpPr>
      <xdr:spPr bwMode="auto">
        <a:xfrm>
          <a:off x="3714750" y="2214562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</xdr:row>
      <xdr:rowOff>0</xdr:rowOff>
    </xdr:from>
    <xdr:to>
      <xdr:col>5</xdr:col>
      <xdr:colOff>152400</xdr:colOff>
      <xdr:row>27</xdr:row>
      <xdr:rowOff>152400</xdr:rowOff>
    </xdr:to>
    <xdr:sp macro="" textlink="">
      <xdr:nvSpPr>
        <xdr:cNvPr id="32" name="AutoShape 25" descr="Transferred">
          <a:extLst>
            <a:ext uri="{FF2B5EF4-FFF2-40B4-BE49-F238E27FC236}">
              <a16:creationId xmlns:a16="http://schemas.microsoft.com/office/drawing/2014/main" id="{730D96A9-846F-4A44-B100-5BA79CB08BB2}"/>
            </a:ext>
          </a:extLst>
        </xdr:cNvPr>
        <xdr:cNvSpPr>
          <a:spLocks noChangeAspect="1" noChangeArrowheads="1"/>
        </xdr:cNvSpPr>
      </xdr:nvSpPr>
      <xdr:spPr bwMode="auto">
        <a:xfrm>
          <a:off x="3714750" y="232981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</xdr:row>
      <xdr:rowOff>0</xdr:rowOff>
    </xdr:from>
    <xdr:to>
      <xdr:col>5</xdr:col>
      <xdr:colOff>152400</xdr:colOff>
      <xdr:row>28</xdr:row>
      <xdr:rowOff>152400</xdr:rowOff>
    </xdr:to>
    <xdr:sp macro="" textlink="">
      <xdr:nvSpPr>
        <xdr:cNvPr id="33" name="AutoShape 26" descr="Taken">
          <a:extLst>
            <a:ext uri="{FF2B5EF4-FFF2-40B4-BE49-F238E27FC236}">
              <a16:creationId xmlns:a16="http://schemas.microsoft.com/office/drawing/2014/main" id="{B599967A-303A-49FF-89BF-5E2DB33D6955}"/>
            </a:ext>
          </a:extLst>
        </xdr:cNvPr>
        <xdr:cNvSpPr>
          <a:spLocks noChangeAspect="1" noChangeArrowheads="1"/>
        </xdr:cNvSpPr>
      </xdr:nvSpPr>
      <xdr:spPr bwMode="auto">
        <a:xfrm>
          <a:off x="3714750" y="242601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</xdr:row>
      <xdr:rowOff>0</xdr:rowOff>
    </xdr:from>
    <xdr:to>
      <xdr:col>5</xdr:col>
      <xdr:colOff>152400</xdr:colOff>
      <xdr:row>29</xdr:row>
      <xdr:rowOff>152400</xdr:rowOff>
    </xdr:to>
    <xdr:sp macro="" textlink="">
      <xdr:nvSpPr>
        <xdr:cNvPr id="34" name="AutoShape 27" descr="Taken">
          <a:extLst>
            <a:ext uri="{FF2B5EF4-FFF2-40B4-BE49-F238E27FC236}">
              <a16:creationId xmlns:a16="http://schemas.microsoft.com/office/drawing/2014/main" id="{AAF4C800-D1DD-48CB-B69B-71F6A4DA6CE7}"/>
            </a:ext>
          </a:extLst>
        </xdr:cNvPr>
        <xdr:cNvSpPr>
          <a:spLocks noChangeAspect="1" noChangeArrowheads="1"/>
        </xdr:cNvSpPr>
      </xdr:nvSpPr>
      <xdr:spPr bwMode="auto">
        <a:xfrm>
          <a:off x="3714750" y="244506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30</xdr:row>
      <xdr:rowOff>0</xdr:rowOff>
    </xdr:from>
    <xdr:to>
      <xdr:col>5</xdr:col>
      <xdr:colOff>152400</xdr:colOff>
      <xdr:row>30</xdr:row>
      <xdr:rowOff>152400</xdr:rowOff>
    </xdr:to>
    <xdr:sp macro="" textlink="">
      <xdr:nvSpPr>
        <xdr:cNvPr id="35" name="AutoShape 28" descr="Taken">
          <a:extLst>
            <a:ext uri="{FF2B5EF4-FFF2-40B4-BE49-F238E27FC236}">
              <a16:creationId xmlns:a16="http://schemas.microsoft.com/office/drawing/2014/main" id="{11F7F223-6E31-47C8-9633-1E4A6A5960D9}"/>
            </a:ext>
          </a:extLst>
        </xdr:cNvPr>
        <xdr:cNvSpPr>
          <a:spLocks noChangeAspect="1" noChangeArrowheads="1"/>
        </xdr:cNvSpPr>
      </xdr:nvSpPr>
      <xdr:spPr bwMode="auto">
        <a:xfrm>
          <a:off x="3714750" y="246411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152400</xdr:colOff>
      <xdr:row>0</xdr:row>
      <xdr:rowOff>152400</xdr:rowOff>
    </xdr:to>
    <xdr:sp macro="" textlink="">
      <xdr:nvSpPr>
        <xdr:cNvPr id="36" name="AutoShape 29" descr="Transferred">
          <a:extLst>
            <a:ext uri="{FF2B5EF4-FFF2-40B4-BE49-F238E27FC236}">
              <a16:creationId xmlns:a16="http://schemas.microsoft.com/office/drawing/2014/main" id="{B6A04B94-0B0C-4E28-BB1E-E5600EDF78AB}"/>
            </a:ext>
          </a:extLst>
        </xdr:cNvPr>
        <xdr:cNvSpPr>
          <a:spLocks noChangeAspect="1" noChangeArrowheads="1"/>
        </xdr:cNvSpPr>
      </xdr:nvSpPr>
      <xdr:spPr bwMode="auto">
        <a:xfrm>
          <a:off x="3714750" y="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152400</xdr:colOff>
      <xdr:row>0</xdr:row>
      <xdr:rowOff>152400</xdr:rowOff>
    </xdr:to>
    <xdr:sp macro="" textlink="">
      <xdr:nvSpPr>
        <xdr:cNvPr id="37" name="AutoShape 30" descr="Transferred">
          <a:extLst>
            <a:ext uri="{FF2B5EF4-FFF2-40B4-BE49-F238E27FC236}">
              <a16:creationId xmlns:a16="http://schemas.microsoft.com/office/drawing/2014/main" id="{F6BB97B0-0471-4E0E-8F0D-85E079AFB4C6}"/>
            </a:ext>
          </a:extLst>
        </xdr:cNvPr>
        <xdr:cNvSpPr>
          <a:spLocks noChangeAspect="1" noChangeArrowheads="1"/>
        </xdr:cNvSpPr>
      </xdr:nvSpPr>
      <xdr:spPr bwMode="auto">
        <a:xfrm>
          <a:off x="3714750" y="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5</xdr:col>
      <xdr:colOff>0</xdr:colOff>
      <xdr:row>20</xdr:row>
      <xdr:rowOff>0</xdr:rowOff>
    </xdr:from>
    <xdr:ext cx="152400" cy="152400"/>
    <xdr:sp macro="" textlink="">
      <xdr:nvSpPr>
        <xdr:cNvPr id="38" name="AutoShape 19" descr="Taken">
          <a:extLst>
            <a:ext uri="{FF2B5EF4-FFF2-40B4-BE49-F238E27FC236}">
              <a16:creationId xmlns:a16="http://schemas.microsoft.com/office/drawing/2014/main" id="{4A6AF18A-C3D1-4B8A-AF9A-2AA933F42F3B}"/>
            </a:ext>
          </a:extLst>
        </xdr:cNvPr>
        <xdr:cNvSpPr>
          <a:spLocks noChangeAspect="1" noChangeArrowheads="1"/>
        </xdr:cNvSpPr>
      </xdr:nvSpPr>
      <xdr:spPr bwMode="auto">
        <a:xfrm>
          <a:off x="3714750" y="165639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 editAs="oneCell">
    <xdr:from>
      <xdr:col>0</xdr:col>
      <xdr:colOff>0</xdr:colOff>
      <xdr:row>4</xdr:row>
      <xdr:rowOff>0</xdr:rowOff>
    </xdr:from>
    <xdr:to>
      <xdr:col>0</xdr:col>
      <xdr:colOff>152400</xdr:colOff>
      <xdr:row>4</xdr:row>
      <xdr:rowOff>152400</xdr:rowOff>
    </xdr:to>
    <xdr:sp macro="" textlink="">
      <xdr:nvSpPr>
        <xdr:cNvPr id="39" name="AutoShape 32" descr="In Progress">
          <a:extLst>
            <a:ext uri="{FF2B5EF4-FFF2-40B4-BE49-F238E27FC236}">
              <a16:creationId xmlns:a16="http://schemas.microsoft.com/office/drawing/2014/main" id="{0A936B3B-88B0-4755-89E1-BA7B76978FAE}"/>
            </a:ext>
          </a:extLst>
        </xdr:cNvPr>
        <xdr:cNvSpPr>
          <a:spLocks noChangeAspect="1" noChangeArrowheads="1"/>
        </xdr:cNvSpPr>
      </xdr:nvSpPr>
      <xdr:spPr bwMode="auto">
        <a:xfrm>
          <a:off x="0" y="34671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12</xdr:row>
      <xdr:rowOff>0</xdr:rowOff>
    </xdr:from>
    <xdr:to>
      <xdr:col>0</xdr:col>
      <xdr:colOff>152400</xdr:colOff>
      <xdr:row>12</xdr:row>
      <xdr:rowOff>152400</xdr:rowOff>
    </xdr:to>
    <xdr:sp macro="" textlink="">
      <xdr:nvSpPr>
        <xdr:cNvPr id="40" name="AutoShape 33" descr="Taken">
          <a:extLst>
            <a:ext uri="{FF2B5EF4-FFF2-40B4-BE49-F238E27FC236}">
              <a16:creationId xmlns:a16="http://schemas.microsoft.com/office/drawing/2014/main" id="{C9731444-E9C7-4D3A-8F83-EA4275DCC031}"/>
            </a:ext>
          </a:extLst>
        </xdr:cNvPr>
        <xdr:cNvSpPr>
          <a:spLocks noChangeAspect="1" noChangeArrowheads="1"/>
        </xdr:cNvSpPr>
      </xdr:nvSpPr>
      <xdr:spPr bwMode="auto">
        <a:xfrm>
          <a:off x="0" y="94392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152400</xdr:colOff>
      <xdr:row>18</xdr:row>
      <xdr:rowOff>152400</xdr:rowOff>
    </xdr:to>
    <xdr:sp macro="" textlink="">
      <xdr:nvSpPr>
        <xdr:cNvPr id="41" name="AutoShape 34" descr="Transferred">
          <a:extLst>
            <a:ext uri="{FF2B5EF4-FFF2-40B4-BE49-F238E27FC236}">
              <a16:creationId xmlns:a16="http://schemas.microsoft.com/office/drawing/2014/main" id="{CC68393A-B0EA-4535-A080-469AE192A8EA}"/>
            </a:ext>
          </a:extLst>
        </xdr:cNvPr>
        <xdr:cNvSpPr>
          <a:spLocks noChangeAspect="1" noChangeArrowheads="1"/>
        </xdr:cNvSpPr>
      </xdr:nvSpPr>
      <xdr:spPr bwMode="auto">
        <a:xfrm>
          <a:off x="0" y="1463992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24</xdr:row>
      <xdr:rowOff>0</xdr:rowOff>
    </xdr:from>
    <xdr:to>
      <xdr:col>0</xdr:col>
      <xdr:colOff>152400</xdr:colOff>
      <xdr:row>24</xdr:row>
      <xdr:rowOff>152400</xdr:rowOff>
    </xdr:to>
    <xdr:sp macro="" textlink="">
      <xdr:nvSpPr>
        <xdr:cNvPr id="42" name="AutoShape 35" descr="Transferred">
          <a:extLst>
            <a:ext uri="{FF2B5EF4-FFF2-40B4-BE49-F238E27FC236}">
              <a16:creationId xmlns:a16="http://schemas.microsoft.com/office/drawing/2014/main" id="{81319A59-526D-4D11-92AA-A8C7F1666F4B}"/>
            </a:ext>
          </a:extLst>
        </xdr:cNvPr>
        <xdr:cNvSpPr>
          <a:spLocks noChangeAspect="1" noChangeArrowheads="1"/>
        </xdr:cNvSpPr>
      </xdr:nvSpPr>
      <xdr:spPr bwMode="auto">
        <a:xfrm>
          <a:off x="0" y="200310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30</xdr:row>
      <xdr:rowOff>0</xdr:rowOff>
    </xdr:from>
    <xdr:to>
      <xdr:col>0</xdr:col>
      <xdr:colOff>152400</xdr:colOff>
      <xdr:row>30</xdr:row>
      <xdr:rowOff>152400</xdr:rowOff>
    </xdr:to>
    <xdr:sp macro="" textlink="">
      <xdr:nvSpPr>
        <xdr:cNvPr id="43" name="AutoShape 36" descr="Taken">
          <a:extLst>
            <a:ext uri="{FF2B5EF4-FFF2-40B4-BE49-F238E27FC236}">
              <a16:creationId xmlns:a16="http://schemas.microsoft.com/office/drawing/2014/main" id="{27584FD5-0421-4348-9ABF-0BFA42924111}"/>
            </a:ext>
          </a:extLst>
        </xdr:cNvPr>
        <xdr:cNvSpPr>
          <a:spLocks noChangeAspect="1" noChangeArrowheads="1"/>
        </xdr:cNvSpPr>
      </xdr:nvSpPr>
      <xdr:spPr bwMode="auto">
        <a:xfrm>
          <a:off x="0" y="246411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152400</xdr:colOff>
      <xdr:row>35</xdr:row>
      <xdr:rowOff>152400</xdr:rowOff>
    </xdr:to>
    <xdr:sp macro="" textlink="">
      <xdr:nvSpPr>
        <xdr:cNvPr id="44" name="AutoShape 37" descr="Taken">
          <a:extLst>
            <a:ext uri="{FF2B5EF4-FFF2-40B4-BE49-F238E27FC236}">
              <a16:creationId xmlns:a16="http://schemas.microsoft.com/office/drawing/2014/main" id="{6A7A27F2-FCF1-4275-BA23-E217FE6EC771}"/>
            </a:ext>
          </a:extLst>
        </xdr:cNvPr>
        <xdr:cNvSpPr>
          <a:spLocks noChangeAspect="1" noChangeArrowheads="1"/>
        </xdr:cNvSpPr>
      </xdr:nvSpPr>
      <xdr:spPr bwMode="auto">
        <a:xfrm>
          <a:off x="0" y="255936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40</xdr:row>
      <xdr:rowOff>0</xdr:rowOff>
    </xdr:from>
    <xdr:to>
      <xdr:col>0</xdr:col>
      <xdr:colOff>152400</xdr:colOff>
      <xdr:row>40</xdr:row>
      <xdr:rowOff>152400</xdr:rowOff>
    </xdr:to>
    <xdr:sp macro="" textlink="">
      <xdr:nvSpPr>
        <xdr:cNvPr id="45" name="AutoShape 38" descr="In Progress">
          <a:extLst>
            <a:ext uri="{FF2B5EF4-FFF2-40B4-BE49-F238E27FC236}">
              <a16:creationId xmlns:a16="http://schemas.microsoft.com/office/drawing/2014/main" id="{8E6F5583-DD55-4638-9D10-D917C08A62C0}"/>
            </a:ext>
          </a:extLst>
        </xdr:cNvPr>
        <xdr:cNvSpPr>
          <a:spLocks noChangeAspect="1" noChangeArrowheads="1"/>
        </xdr:cNvSpPr>
      </xdr:nvSpPr>
      <xdr:spPr bwMode="auto">
        <a:xfrm>
          <a:off x="0" y="265461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45</xdr:row>
      <xdr:rowOff>0</xdr:rowOff>
    </xdr:from>
    <xdr:to>
      <xdr:col>0</xdr:col>
      <xdr:colOff>152400</xdr:colOff>
      <xdr:row>45</xdr:row>
      <xdr:rowOff>152400</xdr:rowOff>
    </xdr:to>
    <xdr:sp macro="" textlink="">
      <xdr:nvSpPr>
        <xdr:cNvPr id="46" name="AutoShape 39" descr="In Progress">
          <a:extLst>
            <a:ext uri="{FF2B5EF4-FFF2-40B4-BE49-F238E27FC236}">
              <a16:creationId xmlns:a16="http://schemas.microsoft.com/office/drawing/2014/main" id="{F913913A-E79C-490C-8FDC-253FB1032DF6}"/>
            </a:ext>
          </a:extLst>
        </xdr:cNvPr>
        <xdr:cNvSpPr>
          <a:spLocks noChangeAspect="1" noChangeArrowheads="1"/>
        </xdr:cNvSpPr>
      </xdr:nvSpPr>
      <xdr:spPr bwMode="auto">
        <a:xfrm>
          <a:off x="0" y="274986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5</xdr:col>
      <xdr:colOff>0</xdr:colOff>
      <xdr:row>7</xdr:row>
      <xdr:rowOff>0</xdr:rowOff>
    </xdr:from>
    <xdr:ext cx="152400" cy="152400"/>
    <xdr:sp macro="" textlink="">
      <xdr:nvSpPr>
        <xdr:cNvPr id="47" name="AutoShape 7" descr="Taken">
          <a:extLst>
            <a:ext uri="{FF2B5EF4-FFF2-40B4-BE49-F238E27FC236}">
              <a16:creationId xmlns:a16="http://schemas.microsoft.com/office/drawing/2014/main" id="{ABC822A1-0FDD-4452-89B4-02287BAC8649}"/>
            </a:ext>
          </a:extLst>
        </xdr:cNvPr>
        <xdr:cNvSpPr>
          <a:spLocks noChangeAspect="1" noChangeArrowheads="1"/>
        </xdr:cNvSpPr>
      </xdr:nvSpPr>
      <xdr:spPr bwMode="auto">
        <a:xfrm>
          <a:off x="3714750" y="52006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6</xdr:row>
      <xdr:rowOff>0</xdr:rowOff>
    </xdr:from>
    <xdr:ext cx="152400" cy="152400"/>
    <xdr:sp macro="" textlink="">
      <xdr:nvSpPr>
        <xdr:cNvPr id="48" name="AutoShape 7" descr="Taken">
          <a:extLst>
            <a:ext uri="{FF2B5EF4-FFF2-40B4-BE49-F238E27FC236}">
              <a16:creationId xmlns:a16="http://schemas.microsoft.com/office/drawing/2014/main" id="{2DC3A67A-D425-4815-937D-609339287F1C}"/>
            </a:ext>
          </a:extLst>
        </xdr:cNvPr>
        <xdr:cNvSpPr>
          <a:spLocks noChangeAspect="1" noChangeArrowheads="1"/>
        </xdr:cNvSpPr>
      </xdr:nvSpPr>
      <xdr:spPr bwMode="auto">
        <a:xfrm>
          <a:off x="3714750" y="423862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</xdr:row>
      <xdr:rowOff>0</xdr:rowOff>
    </xdr:from>
    <xdr:ext cx="152400" cy="152400"/>
    <xdr:sp macro="" textlink="">
      <xdr:nvSpPr>
        <xdr:cNvPr id="49" name="AutoShape 12" descr="In Progress">
          <a:extLst>
            <a:ext uri="{FF2B5EF4-FFF2-40B4-BE49-F238E27FC236}">
              <a16:creationId xmlns:a16="http://schemas.microsoft.com/office/drawing/2014/main" id="{3B6CF097-80D3-4202-8F78-BE491CD34520}"/>
            </a:ext>
          </a:extLst>
        </xdr:cNvPr>
        <xdr:cNvSpPr>
          <a:spLocks noChangeAspect="1" noChangeArrowheads="1"/>
        </xdr:cNvSpPr>
      </xdr:nvSpPr>
      <xdr:spPr bwMode="auto">
        <a:xfrm>
          <a:off x="3714750" y="129063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 editAs="oneCell">
    <xdr:from>
      <xdr:col>5</xdr:col>
      <xdr:colOff>0</xdr:colOff>
      <xdr:row>0</xdr:row>
      <xdr:rowOff>0</xdr:rowOff>
    </xdr:from>
    <xdr:to>
      <xdr:col>5</xdr:col>
      <xdr:colOff>152400</xdr:colOff>
      <xdr:row>0</xdr:row>
      <xdr:rowOff>152400</xdr:rowOff>
    </xdr:to>
    <xdr:sp macro="" textlink="">
      <xdr:nvSpPr>
        <xdr:cNvPr id="50" name="AutoShape 1" descr="Transferred">
          <a:extLst>
            <a:ext uri="{FF2B5EF4-FFF2-40B4-BE49-F238E27FC236}">
              <a16:creationId xmlns:a16="http://schemas.microsoft.com/office/drawing/2014/main" id="{EA2807C1-F001-461D-970B-8A5182AF0B94}"/>
            </a:ext>
          </a:extLst>
        </xdr:cNvPr>
        <xdr:cNvSpPr>
          <a:spLocks noChangeAspect="1" noChangeArrowheads="1"/>
        </xdr:cNvSpPr>
      </xdr:nvSpPr>
      <xdr:spPr bwMode="auto">
        <a:xfrm>
          <a:off x="3714750" y="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</xdr:row>
      <xdr:rowOff>0</xdr:rowOff>
    </xdr:from>
    <xdr:to>
      <xdr:col>5</xdr:col>
      <xdr:colOff>152400</xdr:colOff>
      <xdr:row>1</xdr:row>
      <xdr:rowOff>152400</xdr:rowOff>
    </xdr:to>
    <xdr:sp macro="" textlink="">
      <xdr:nvSpPr>
        <xdr:cNvPr id="51" name="AutoShape 2" descr="Transferred">
          <a:extLst>
            <a:ext uri="{FF2B5EF4-FFF2-40B4-BE49-F238E27FC236}">
              <a16:creationId xmlns:a16="http://schemas.microsoft.com/office/drawing/2014/main" id="{AC68382E-2FC2-41D5-8482-AD8C762DABC8}"/>
            </a:ext>
          </a:extLst>
        </xdr:cNvPr>
        <xdr:cNvSpPr>
          <a:spLocks noChangeAspect="1" noChangeArrowheads="1"/>
        </xdr:cNvSpPr>
      </xdr:nvSpPr>
      <xdr:spPr bwMode="auto">
        <a:xfrm>
          <a:off x="3714750" y="58102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</xdr:row>
      <xdr:rowOff>0</xdr:rowOff>
    </xdr:from>
    <xdr:to>
      <xdr:col>5</xdr:col>
      <xdr:colOff>152400</xdr:colOff>
      <xdr:row>2</xdr:row>
      <xdr:rowOff>152400</xdr:rowOff>
    </xdr:to>
    <xdr:sp macro="" textlink="">
      <xdr:nvSpPr>
        <xdr:cNvPr id="52" name="AutoShape 3" descr="Transferred">
          <a:extLst>
            <a:ext uri="{FF2B5EF4-FFF2-40B4-BE49-F238E27FC236}">
              <a16:creationId xmlns:a16="http://schemas.microsoft.com/office/drawing/2014/main" id="{F252F3D0-A547-40D9-B0B9-EA7367F4BF28}"/>
            </a:ext>
          </a:extLst>
        </xdr:cNvPr>
        <xdr:cNvSpPr>
          <a:spLocks noChangeAspect="1" noChangeArrowheads="1"/>
        </xdr:cNvSpPr>
      </xdr:nvSpPr>
      <xdr:spPr bwMode="auto">
        <a:xfrm>
          <a:off x="3714750" y="1543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</xdr:row>
      <xdr:rowOff>0</xdr:rowOff>
    </xdr:from>
    <xdr:to>
      <xdr:col>5</xdr:col>
      <xdr:colOff>152400</xdr:colOff>
      <xdr:row>3</xdr:row>
      <xdr:rowOff>152400</xdr:rowOff>
    </xdr:to>
    <xdr:sp macro="" textlink="">
      <xdr:nvSpPr>
        <xdr:cNvPr id="53" name="AutoShape 4" descr="Transferred">
          <a:extLst>
            <a:ext uri="{FF2B5EF4-FFF2-40B4-BE49-F238E27FC236}">
              <a16:creationId xmlns:a16="http://schemas.microsoft.com/office/drawing/2014/main" id="{2A97CE2E-966F-41F8-A1A5-8BABDCD0B661}"/>
            </a:ext>
          </a:extLst>
        </xdr:cNvPr>
        <xdr:cNvSpPr>
          <a:spLocks noChangeAspect="1" noChangeArrowheads="1"/>
        </xdr:cNvSpPr>
      </xdr:nvSpPr>
      <xdr:spPr bwMode="auto">
        <a:xfrm>
          <a:off x="3714750" y="26955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</xdr:row>
      <xdr:rowOff>0</xdr:rowOff>
    </xdr:from>
    <xdr:to>
      <xdr:col>5</xdr:col>
      <xdr:colOff>152400</xdr:colOff>
      <xdr:row>4</xdr:row>
      <xdr:rowOff>152400</xdr:rowOff>
    </xdr:to>
    <xdr:sp macro="" textlink="">
      <xdr:nvSpPr>
        <xdr:cNvPr id="54" name="AutoShape 5" descr="In Progress">
          <a:extLst>
            <a:ext uri="{FF2B5EF4-FFF2-40B4-BE49-F238E27FC236}">
              <a16:creationId xmlns:a16="http://schemas.microsoft.com/office/drawing/2014/main" id="{D1842801-F226-4E03-B1CF-9C620F351DEA}"/>
            </a:ext>
          </a:extLst>
        </xdr:cNvPr>
        <xdr:cNvSpPr>
          <a:spLocks noChangeAspect="1" noChangeArrowheads="1"/>
        </xdr:cNvSpPr>
      </xdr:nvSpPr>
      <xdr:spPr bwMode="auto">
        <a:xfrm>
          <a:off x="3714750" y="34671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</xdr:row>
      <xdr:rowOff>0</xdr:rowOff>
    </xdr:from>
    <xdr:to>
      <xdr:col>5</xdr:col>
      <xdr:colOff>152400</xdr:colOff>
      <xdr:row>6</xdr:row>
      <xdr:rowOff>152400</xdr:rowOff>
    </xdr:to>
    <xdr:sp macro="" textlink="">
      <xdr:nvSpPr>
        <xdr:cNvPr id="55" name="AutoShape 6" descr="In Progress">
          <a:extLst>
            <a:ext uri="{FF2B5EF4-FFF2-40B4-BE49-F238E27FC236}">
              <a16:creationId xmlns:a16="http://schemas.microsoft.com/office/drawing/2014/main" id="{38E3BA50-6323-41A7-9ACD-0D412610D969}"/>
            </a:ext>
          </a:extLst>
        </xdr:cNvPr>
        <xdr:cNvSpPr>
          <a:spLocks noChangeAspect="1" noChangeArrowheads="1"/>
        </xdr:cNvSpPr>
      </xdr:nvSpPr>
      <xdr:spPr bwMode="auto">
        <a:xfrm>
          <a:off x="3714750" y="423862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</xdr:row>
      <xdr:rowOff>0</xdr:rowOff>
    </xdr:from>
    <xdr:to>
      <xdr:col>5</xdr:col>
      <xdr:colOff>152400</xdr:colOff>
      <xdr:row>7</xdr:row>
      <xdr:rowOff>152400</xdr:rowOff>
    </xdr:to>
    <xdr:sp macro="" textlink="">
      <xdr:nvSpPr>
        <xdr:cNvPr id="56" name="AutoShape 7" descr="Transferred">
          <a:extLst>
            <a:ext uri="{FF2B5EF4-FFF2-40B4-BE49-F238E27FC236}">
              <a16:creationId xmlns:a16="http://schemas.microsoft.com/office/drawing/2014/main" id="{52A32323-D721-4E64-BBBA-90696B2AFF14}"/>
            </a:ext>
          </a:extLst>
        </xdr:cNvPr>
        <xdr:cNvSpPr>
          <a:spLocks noChangeAspect="1" noChangeArrowheads="1"/>
        </xdr:cNvSpPr>
      </xdr:nvSpPr>
      <xdr:spPr bwMode="auto">
        <a:xfrm>
          <a:off x="3714750" y="52006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152400</xdr:colOff>
      <xdr:row>8</xdr:row>
      <xdr:rowOff>152400</xdr:rowOff>
    </xdr:to>
    <xdr:sp macro="" textlink="">
      <xdr:nvSpPr>
        <xdr:cNvPr id="57" name="AutoShape 8" descr="Transferred">
          <a:extLst>
            <a:ext uri="{FF2B5EF4-FFF2-40B4-BE49-F238E27FC236}">
              <a16:creationId xmlns:a16="http://schemas.microsoft.com/office/drawing/2014/main" id="{00296D40-3F6A-465F-90E4-7F64F7B9FF61}"/>
            </a:ext>
          </a:extLst>
        </xdr:cNvPr>
        <xdr:cNvSpPr>
          <a:spLocks noChangeAspect="1" noChangeArrowheads="1"/>
        </xdr:cNvSpPr>
      </xdr:nvSpPr>
      <xdr:spPr bwMode="auto">
        <a:xfrm>
          <a:off x="3714750" y="61626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152400</xdr:colOff>
      <xdr:row>9</xdr:row>
      <xdr:rowOff>152400</xdr:rowOff>
    </xdr:to>
    <xdr:sp macro="" textlink="">
      <xdr:nvSpPr>
        <xdr:cNvPr id="58" name="AutoShape 9" descr="Transferred">
          <a:extLst>
            <a:ext uri="{FF2B5EF4-FFF2-40B4-BE49-F238E27FC236}">
              <a16:creationId xmlns:a16="http://schemas.microsoft.com/office/drawing/2014/main" id="{BB18D4C7-1D0B-4A58-9C13-8C9B0EF637EF}"/>
            </a:ext>
          </a:extLst>
        </xdr:cNvPr>
        <xdr:cNvSpPr>
          <a:spLocks noChangeAspect="1" noChangeArrowheads="1"/>
        </xdr:cNvSpPr>
      </xdr:nvSpPr>
      <xdr:spPr bwMode="auto">
        <a:xfrm>
          <a:off x="3714750" y="71247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</xdr:row>
      <xdr:rowOff>0</xdr:rowOff>
    </xdr:from>
    <xdr:to>
      <xdr:col>5</xdr:col>
      <xdr:colOff>152400</xdr:colOff>
      <xdr:row>10</xdr:row>
      <xdr:rowOff>152400</xdr:rowOff>
    </xdr:to>
    <xdr:sp macro="" textlink="">
      <xdr:nvSpPr>
        <xdr:cNvPr id="59" name="AutoShape 10" descr="In Progress">
          <a:extLst>
            <a:ext uri="{FF2B5EF4-FFF2-40B4-BE49-F238E27FC236}">
              <a16:creationId xmlns:a16="http://schemas.microsoft.com/office/drawing/2014/main" id="{8A3B49D3-7A36-4387-A801-23AF37F79210}"/>
            </a:ext>
          </a:extLst>
        </xdr:cNvPr>
        <xdr:cNvSpPr>
          <a:spLocks noChangeAspect="1" noChangeArrowheads="1"/>
        </xdr:cNvSpPr>
      </xdr:nvSpPr>
      <xdr:spPr bwMode="auto">
        <a:xfrm>
          <a:off x="3714750" y="789622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</xdr:row>
      <xdr:rowOff>0</xdr:rowOff>
    </xdr:from>
    <xdr:to>
      <xdr:col>5</xdr:col>
      <xdr:colOff>152400</xdr:colOff>
      <xdr:row>11</xdr:row>
      <xdr:rowOff>152400</xdr:rowOff>
    </xdr:to>
    <xdr:sp macro="" textlink="">
      <xdr:nvSpPr>
        <xdr:cNvPr id="60" name="AutoShape 11" descr="Transferred">
          <a:extLst>
            <a:ext uri="{FF2B5EF4-FFF2-40B4-BE49-F238E27FC236}">
              <a16:creationId xmlns:a16="http://schemas.microsoft.com/office/drawing/2014/main" id="{2A35D87F-AC91-4711-9DBD-9BC808664EA7}"/>
            </a:ext>
          </a:extLst>
        </xdr:cNvPr>
        <xdr:cNvSpPr>
          <a:spLocks noChangeAspect="1" noChangeArrowheads="1"/>
        </xdr:cNvSpPr>
      </xdr:nvSpPr>
      <xdr:spPr bwMode="auto">
        <a:xfrm>
          <a:off x="3714750" y="86677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</xdr:row>
      <xdr:rowOff>0</xdr:rowOff>
    </xdr:from>
    <xdr:to>
      <xdr:col>5</xdr:col>
      <xdr:colOff>152400</xdr:colOff>
      <xdr:row>12</xdr:row>
      <xdr:rowOff>152400</xdr:rowOff>
    </xdr:to>
    <xdr:sp macro="" textlink="">
      <xdr:nvSpPr>
        <xdr:cNvPr id="61" name="AutoShape 12" descr="Transferred">
          <a:extLst>
            <a:ext uri="{FF2B5EF4-FFF2-40B4-BE49-F238E27FC236}">
              <a16:creationId xmlns:a16="http://schemas.microsoft.com/office/drawing/2014/main" id="{83F68F04-B562-4BEC-A661-0B82303DE09A}"/>
            </a:ext>
          </a:extLst>
        </xdr:cNvPr>
        <xdr:cNvSpPr>
          <a:spLocks noChangeAspect="1" noChangeArrowheads="1"/>
        </xdr:cNvSpPr>
      </xdr:nvSpPr>
      <xdr:spPr bwMode="auto">
        <a:xfrm>
          <a:off x="3714750" y="94392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</xdr:row>
      <xdr:rowOff>0</xdr:rowOff>
    </xdr:from>
    <xdr:to>
      <xdr:col>5</xdr:col>
      <xdr:colOff>152400</xdr:colOff>
      <xdr:row>13</xdr:row>
      <xdr:rowOff>152400</xdr:rowOff>
    </xdr:to>
    <xdr:sp macro="" textlink="">
      <xdr:nvSpPr>
        <xdr:cNvPr id="62" name="AutoShape 13" descr="Transferred">
          <a:extLst>
            <a:ext uri="{FF2B5EF4-FFF2-40B4-BE49-F238E27FC236}">
              <a16:creationId xmlns:a16="http://schemas.microsoft.com/office/drawing/2014/main" id="{C09BAF3D-C673-45E4-986F-760AC7DD07C2}"/>
            </a:ext>
          </a:extLst>
        </xdr:cNvPr>
        <xdr:cNvSpPr>
          <a:spLocks noChangeAspect="1" noChangeArrowheads="1"/>
        </xdr:cNvSpPr>
      </xdr:nvSpPr>
      <xdr:spPr bwMode="auto">
        <a:xfrm>
          <a:off x="3714750" y="102108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</xdr:row>
      <xdr:rowOff>0</xdr:rowOff>
    </xdr:from>
    <xdr:to>
      <xdr:col>5</xdr:col>
      <xdr:colOff>152400</xdr:colOff>
      <xdr:row>14</xdr:row>
      <xdr:rowOff>152400</xdr:rowOff>
    </xdr:to>
    <xdr:sp macro="" textlink="">
      <xdr:nvSpPr>
        <xdr:cNvPr id="63" name="AutoShape 14" descr="Transferred">
          <a:extLst>
            <a:ext uri="{FF2B5EF4-FFF2-40B4-BE49-F238E27FC236}">
              <a16:creationId xmlns:a16="http://schemas.microsoft.com/office/drawing/2014/main" id="{69AE1F9F-6176-45CB-BB93-4BBF70ECD49F}"/>
            </a:ext>
          </a:extLst>
        </xdr:cNvPr>
        <xdr:cNvSpPr>
          <a:spLocks noChangeAspect="1" noChangeArrowheads="1"/>
        </xdr:cNvSpPr>
      </xdr:nvSpPr>
      <xdr:spPr bwMode="auto">
        <a:xfrm>
          <a:off x="3714750" y="1117282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152400</xdr:colOff>
      <xdr:row>15</xdr:row>
      <xdr:rowOff>152400</xdr:rowOff>
    </xdr:to>
    <xdr:sp macro="" textlink="">
      <xdr:nvSpPr>
        <xdr:cNvPr id="14336" name="AutoShape 15" descr="Transferred">
          <a:extLst>
            <a:ext uri="{FF2B5EF4-FFF2-40B4-BE49-F238E27FC236}">
              <a16:creationId xmlns:a16="http://schemas.microsoft.com/office/drawing/2014/main" id="{509431EE-B7EA-4A37-A839-624486935B7B}"/>
            </a:ext>
          </a:extLst>
        </xdr:cNvPr>
        <xdr:cNvSpPr>
          <a:spLocks noChangeAspect="1" noChangeArrowheads="1"/>
        </xdr:cNvSpPr>
      </xdr:nvSpPr>
      <xdr:spPr bwMode="auto">
        <a:xfrm>
          <a:off x="3714750" y="119443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</xdr:row>
      <xdr:rowOff>0</xdr:rowOff>
    </xdr:from>
    <xdr:to>
      <xdr:col>5</xdr:col>
      <xdr:colOff>152400</xdr:colOff>
      <xdr:row>16</xdr:row>
      <xdr:rowOff>152400</xdr:rowOff>
    </xdr:to>
    <xdr:sp macro="" textlink="">
      <xdr:nvSpPr>
        <xdr:cNvPr id="14364" name="AutoShape 16" descr="Transferred">
          <a:extLst>
            <a:ext uri="{FF2B5EF4-FFF2-40B4-BE49-F238E27FC236}">
              <a16:creationId xmlns:a16="http://schemas.microsoft.com/office/drawing/2014/main" id="{19E2E25F-0168-4D2D-8C99-9951A244C58D}"/>
            </a:ext>
          </a:extLst>
        </xdr:cNvPr>
        <xdr:cNvSpPr>
          <a:spLocks noChangeAspect="1" noChangeArrowheads="1"/>
        </xdr:cNvSpPr>
      </xdr:nvSpPr>
      <xdr:spPr bwMode="auto">
        <a:xfrm>
          <a:off x="3714750" y="129063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</xdr:row>
      <xdr:rowOff>0</xdr:rowOff>
    </xdr:from>
    <xdr:to>
      <xdr:col>5</xdr:col>
      <xdr:colOff>152400</xdr:colOff>
      <xdr:row>17</xdr:row>
      <xdr:rowOff>152400</xdr:rowOff>
    </xdr:to>
    <xdr:sp macro="" textlink="">
      <xdr:nvSpPr>
        <xdr:cNvPr id="14365" name="AutoShape 17" descr="Transferred">
          <a:extLst>
            <a:ext uri="{FF2B5EF4-FFF2-40B4-BE49-F238E27FC236}">
              <a16:creationId xmlns:a16="http://schemas.microsoft.com/office/drawing/2014/main" id="{EEF676A6-90BE-412F-82B2-79D4D4EADE8A}"/>
            </a:ext>
          </a:extLst>
        </xdr:cNvPr>
        <xdr:cNvSpPr>
          <a:spLocks noChangeAspect="1" noChangeArrowheads="1"/>
        </xdr:cNvSpPr>
      </xdr:nvSpPr>
      <xdr:spPr bwMode="auto">
        <a:xfrm>
          <a:off x="3714750" y="136779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</xdr:row>
      <xdr:rowOff>0</xdr:rowOff>
    </xdr:from>
    <xdr:to>
      <xdr:col>5</xdr:col>
      <xdr:colOff>152400</xdr:colOff>
      <xdr:row>18</xdr:row>
      <xdr:rowOff>152400</xdr:rowOff>
    </xdr:to>
    <xdr:sp macro="" textlink="">
      <xdr:nvSpPr>
        <xdr:cNvPr id="14366" name="AutoShape 18" descr="Transferred">
          <a:extLst>
            <a:ext uri="{FF2B5EF4-FFF2-40B4-BE49-F238E27FC236}">
              <a16:creationId xmlns:a16="http://schemas.microsoft.com/office/drawing/2014/main" id="{2DBC522B-C33D-41B0-AC1D-56EA103F766A}"/>
            </a:ext>
          </a:extLst>
        </xdr:cNvPr>
        <xdr:cNvSpPr>
          <a:spLocks noChangeAspect="1" noChangeArrowheads="1"/>
        </xdr:cNvSpPr>
      </xdr:nvSpPr>
      <xdr:spPr bwMode="auto">
        <a:xfrm>
          <a:off x="3714750" y="1463992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</xdr:row>
      <xdr:rowOff>0</xdr:rowOff>
    </xdr:from>
    <xdr:to>
      <xdr:col>5</xdr:col>
      <xdr:colOff>152400</xdr:colOff>
      <xdr:row>19</xdr:row>
      <xdr:rowOff>152400</xdr:rowOff>
    </xdr:to>
    <xdr:sp macro="" textlink="">
      <xdr:nvSpPr>
        <xdr:cNvPr id="14367" name="AutoShape 19" descr="Transferred">
          <a:extLst>
            <a:ext uri="{FF2B5EF4-FFF2-40B4-BE49-F238E27FC236}">
              <a16:creationId xmlns:a16="http://schemas.microsoft.com/office/drawing/2014/main" id="{D3E6FD99-6364-472B-8641-5D588A153419}"/>
            </a:ext>
          </a:extLst>
        </xdr:cNvPr>
        <xdr:cNvSpPr>
          <a:spLocks noChangeAspect="1" noChangeArrowheads="1"/>
        </xdr:cNvSpPr>
      </xdr:nvSpPr>
      <xdr:spPr bwMode="auto">
        <a:xfrm>
          <a:off x="3714750" y="154114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</xdr:row>
      <xdr:rowOff>0</xdr:rowOff>
    </xdr:from>
    <xdr:to>
      <xdr:col>5</xdr:col>
      <xdr:colOff>152400</xdr:colOff>
      <xdr:row>20</xdr:row>
      <xdr:rowOff>152400</xdr:rowOff>
    </xdr:to>
    <xdr:sp macro="" textlink="">
      <xdr:nvSpPr>
        <xdr:cNvPr id="14399" name="AutoShape 20" descr="Transferred">
          <a:extLst>
            <a:ext uri="{FF2B5EF4-FFF2-40B4-BE49-F238E27FC236}">
              <a16:creationId xmlns:a16="http://schemas.microsoft.com/office/drawing/2014/main" id="{EA81C274-B81B-466F-AB90-A372AD8EA168}"/>
            </a:ext>
          </a:extLst>
        </xdr:cNvPr>
        <xdr:cNvSpPr>
          <a:spLocks noChangeAspect="1" noChangeArrowheads="1"/>
        </xdr:cNvSpPr>
      </xdr:nvSpPr>
      <xdr:spPr bwMode="auto">
        <a:xfrm>
          <a:off x="3714750" y="165639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152400</xdr:colOff>
      <xdr:row>21</xdr:row>
      <xdr:rowOff>152400</xdr:rowOff>
    </xdr:to>
    <xdr:sp macro="" textlink="">
      <xdr:nvSpPr>
        <xdr:cNvPr id="17408" name="AutoShape 21" descr="In Progress">
          <a:extLst>
            <a:ext uri="{FF2B5EF4-FFF2-40B4-BE49-F238E27FC236}">
              <a16:creationId xmlns:a16="http://schemas.microsoft.com/office/drawing/2014/main" id="{3C54E235-32F8-48B1-8BAD-66B1707F3EC4}"/>
            </a:ext>
          </a:extLst>
        </xdr:cNvPr>
        <xdr:cNvSpPr>
          <a:spLocks noChangeAspect="1" noChangeArrowheads="1"/>
        </xdr:cNvSpPr>
      </xdr:nvSpPr>
      <xdr:spPr bwMode="auto">
        <a:xfrm>
          <a:off x="3714750" y="173355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</xdr:row>
      <xdr:rowOff>0</xdr:rowOff>
    </xdr:from>
    <xdr:to>
      <xdr:col>5</xdr:col>
      <xdr:colOff>152400</xdr:colOff>
      <xdr:row>22</xdr:row>
      <xdr:rowOff>152400</xdr:rowOff>
    </xdr:to>
    <xdr:sp macro="" textlink="">
      <xdr:nvSpPr>
        <xdr:cNvPr id="17439" name="AutoShape 22" descr="Transferred">
          <a:extLst>
            <a:ext uri="{FF2B5EF4-FFF2-40B4-BE49-F238E27FC236}">
              <a16:creationId xmlns:a16="http://schemas.microsoft.com/office/drawing/2014/main" id="{86F7EC47-403C-4987-AEC9-82B225FB5A5D}"/>
            </a:ext>
          </a:extLst>
        </xdr:cNvPr>
        <xdr:cNvSpPr>
          <a:spLocks noChangeAspect="1" noChangeArrowheads="1"/>
        </xdr:cNvSpPr>
      </xdr:nvSpPr>
      <xdr:spPr bwMode="auto">
        <a:xfrm>
          <a:off x="3714750" y="1791652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</xdr:row>
      <xdr:rowOff>0</xdr:rowOff>
    </xdr:from>
    <xdr:to>
      <xdr:col>5</xdr:col>
      <xdr:colOff>152400</xdr:colOff>
      <xdr:row>23</xdr:row>
      <xdr:rowOff>152400</xdr:rowOff>
    </xdr:to>
    <xdr:sp macro="" textlink="">
      <xdr:nvSpPr>
        <xdr:cNvPr id="17440" name="AutoShape 23" descr="Transferred">
          <a:extLst>
            <a:ext uri="{FF2B5EF4-FFF2-40B4-BE49-F238E27FC236}">
              <a16:creationId xmlns:a16="http://schemas.microsoft.com/office/drawing/2014/main" id="{469108B1-DFE1-4BF1-9D79-3B82387EC4AA}"/>
            </a:ext>
          </a:extLst>
        </xdr:cNvPr>
        <xdr:cNvSpPr>
          <a:spLocks noChangeAspect="1" noChangeArrowheads="1"/>
        </xdr:cNvSpPr>
      </xdr:nvSpPr>
      <xdr:spPr bwMode="auto">
        <a:xfrm>
          <a:off x="3714750" y="19069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</xdr:row>
      <xdr:rowOff>0</xdr:rowOff>
    </xdr:from>
    <xdr:to>
      <xdr:col>5</xdr:col>
      <xdr:colOff>152400</xdr:colOff>
      <xdr:row>24</xdr:row>
      <xdr:rowOff>152400</xdr:rowOff>
    </xdr:to>
    <xdr:sp macro="" textlink="">
      <xdr:nvSpPr>
        <xdr:cNvPr id="17441" name="AutoShape 24" descr="Transferred">
          <a:extLst>
            <a:ext uri="{FF2B5EF4-FFF2-40B4-BE49-F238E27FC236}">
              <a16:creationId xmlns:a16="http://schemas.microsoft.com/office/drawing/2014/main" id="{B4151E3D-D9D7-4721-BC96-E7B4D17E270C}"/>
            </a:ext>
          </a:extLst>
        </xdr:cNvPr>
        <xdr:cNvSpPr>
          <a:spLocks noChangeAspect="1" noChangeArrowheads="1"/>
        </xdr:cNvSpPr>
      </xdr:nvSpPr>
      <xdr:spPr bwMode="auto">
        <a:xfrm>
          <a:off x="3714750" y="200310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</xdr:row>
      <xdr:rowOff>0</xdr:rowOff>
    </xdr:from>
    <xdr:to>
      <xdr:col>5</xdr:col>
      <xdr:colOff>152400</xdr:colOff>
      <xdr:row>25</xdr:row>
      <xdr:rowOff>152400</xdr:rowOff>
    </xdr:to>
    <xdr:sp macro="" textlink="">
      <xdr:nvSpPr>
        <xdr:cNvPr id="17442" name="AutoShape 25" descr="Transferred">
          <a:extLst>
            <a:ext uri="{FF2B5EF4-FFF2-40B4-BE49-F238E27FC236}">
              <a16:creationId xmlns:a16="http://schemas.microsoft.com/office/drawing/2014/main" id="{44F27C57-D457-4264-A4FF-FB4B31CBBD51}"/>
            </a:ext>
          </a:extLst>
        </xdr:cNvPr>
        <xdr:cNvSpPr>
          <a:spLocks noChangeAspect="1" noChangeArrowheads="1"/>
        </xdr:cNvSpPr>
      </xdr:nvSpPr>
      <xdr:spPr bwMode="auto">
        <a:xfrm>
          <a:off x="3714750" y="211836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</xdr:row>
      <xdr:rowOff>0</xdr:rowOff>
    </xdr:from>
    <xdr:to>
      <xdr:col>5</xdr:col>
      <xdr:colOff>152400</xdr:colOff>
      <xdr:row>26</xdr:row>
      <xdr:rowOff>152400</xdr:rowOff>
    </xdr:to>
    <xdr:sp macro="" textlink="">
      <xdr:nvSpPr>
        <xdr:cNvPr id="17443" name="AutoShape 26" descr="Transferred">
          <a:extLst>
            <a:ext uri="{FF2B5EF4-FFF2-40B4-BE49-F238E27FC236}">
              <a16:creationId xmlns:a16="http://schemas.microsoft.com/office/drawing/2014/main" id="{98E63184-357F-4D84-BF3C-43DAB7EF36DF}"/>
            </a:ext>
          </a:extLst>
        </xdr:cNvPr>
        <xdr:cNvSpPr>
          <a:spLocks noChangeAspect="1" noChangeArrowheads="1"/>
        </xdr:cNvSpPr>
      </xdr:nvSpPr>
      <xdr:spPr bwMode="auto">
        <a:xfrm>
          <a:off x="3714750" y="2214562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</xdr:row>
      <xdr:rowOff>0</xdr:rowOff>
    </xdr:from>
    <xdr:to>
      <xdr:col>5</xdr:col>
      <xdr:colOff>152400</xdr:colOff>
      <xdr:row>27</xdr:row>
      <xdr:rowOff>152400</xdr:rowOff>
    </xdr:to>
    <xdr:sp macro="" textlink="">
      <xdr:nvSpPr>
        <xdr:cNvPr id="17444" name="AutoShape 27" descr="Transferred">
          <a:extLst>
            <a:ext uri="{FF2B5EF4-FFF2-40B4-BE49-F238E27FC236}">
              <a16:creationId xmlns:a16="http://schemas.microsoft.com/office/drawing/2014/main" id="{11986397-4683-48F5-8672-3D8ED812263A}"/>
            </a:ext>
          </a:extLst>
        </xdr:cNvPr>
        <xdr:cNvSpPr>
          <a:spLocks noChangeAspect="1" noChangeArrowheads="1"/>
        </xdr:cNvSpPr>
      </xdr:nvSpPr>
      <xdr:spPr bwMode="auto">
        <a:xfrm>
          <a:off x="3714750" y="232981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4FEBE092-EB10-44F0-B668-7CF4E488620D}">
  <we:reference id="0986d9dd-94f1-4b67-978d-c4cf6e6142a8" version="21.5.1.1" store="EXCatalog" storeType="EXCatalog"/>
  <we:alternateReferences>
    <we:reference id="WA200000018" version="21.5.1.1" store="en-US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PsiNormal</we:customFunctionIds>
        <we:customFunctionIds>PsiBernoulli</we:customFunctionIds>
        <we:customFunctionIds>PsiBeta</we:customFunctionIds>
        <we:customFunctionIds>PsiBetaGen</we:customFunctionIds>
        <we:customFunctionIds>PsiBetaSubj</we:customFunctionIds>
        <we:customFunctionIds>PsiBinomial</we:customFunctionIds>
        <we:customFunctionIds>PsiCauchy</we:customFunctionIds>
        <we:customFunctionIds>PsiChiSquare</we:customFunctionIds>
        <we:customFunctionIds>PsiCumul</we:customFunctionIds>
        <we:customFunctionIds>PsiCumulD</we:customFunctionIds>
        <we:customFunctionIds>PsiDiscrete</we:customFunctionIds>
        <we:customFunctionIds>PsiDisUniform</we:customFunctionIds>
        <we:customFunctionIds>PsiErf</we:customFunctionIds>
        <we:customFunctionIds>PsiErlang</we:customFunctionIds>
        <we:customFunctionIds>PsiExponential</we:customFunctionIds>
        <we:customFunctionIds>PsiGamma</we:customFunctionIds>
        <we:customFunctionIds>PsiGeneral</we:customFunctionIds>
        <we:customFunctionIds>PsiGeometric</we:customFunctionIds>
        <we:customFunctionIds>PsiHistogram</we:customFunctionIds>
        <we:customFunctionIds>PsiHyperGeo</we:customFunctionIds>
        <we:customFunctionIds>PsiIntUniform</we:customFunctionIds>
        <we:customFunctionIds>PsiInvNormal</we:customFunctionIds>
        <we:customFunctionIds>PsiLaplace</we:customFunctionIds>
        <we:customFunctionIds>PsiLogarithmic</we:customFunctionIds>
        <we:customFunctionIds>PsiLogistic</we:customFunctionIds>
        <we:customFunctionIds>PsiLogLogistic</we:customFunctionIds>
        <we:customFunctionIds>PsiLogNormal</we:customFunctionIds>
        <we:customFunctionIds>PsiLogNorm2</we:customFunctionIds>
        <we:customFunctionIds>PsiMaxExtreme</we:customFunctionIds>
        <we:customFunctionIds>PsiMinExtreme</we:customFunctionIds>
        <we:customFunctionIds>PsiMyerson</we:customFunctionIds>
        <we:customFunctionIds>PsiNegBinomial</we:customFunctionIds>
        <we:customFunctionIds>PsiNormalSkew</we:customFunctionIds>
        <we:customFunctionIds>PsiPareto</we:customFunctionIds>
        <we:customFunctionIds>PsiPareto2</we:customFunctionIds>
        <we:customFunctionIds>PsiPearson5</we:customFunctionIds>
        <we:customFunctionIds>PsiPearson6</we:customFunctionIds>
        <we:customFunctionIds>PsiPert</we:customFunctionIds>
        <we:customFunctionIds>PsiPoisson</we:customFunctionIds>
        <we:customFunctionIds>PsiRayleigh</we:customFunctionIds>
        <we:customFunctionIds>PsiStudent</we:customFunctionIds>
        <we:customFunctionIds>PsiTriangular</we:customFunctionIds>
        <we:customFunctionIds>PsiTriangGen</we:customFunctionIds>
        <we:customFunctionIds>PsiUniform</we:customFunctionIds>
        <we:customFunctionIds>PsiWeibull</we:customFunctionIds>
        <we:customFunctionIds>PsiBurr12</we:customFunctionIds>
        <we:customFunctionIds>PsiDagum</we:customFunctionIds>
        <we:customFunctionIds>PsiDblTriang</we:customFunctionIds>
        <we:customFunctionIds>PsiFdist</we:customFunctionIds>
        <we:customFunctionIds>PsiFatigueLife</we:customFunctionIds>
        <we:customFunctionIds>PsiFrechet</we:customFunctionIds>
        <we:customFunctionIds>PsiHypSecant</we:customFunctionIds>
        <we:customFunctionIds>PsiJohnsonSB</we:customFunctionIds>
        <we:customFunctionIds>PsiJohnsonSU</we:customFunctionIds>
        <we:customFunctionIds>PsiKumaraswamy</we:customFunctionIds>
        <we:customFunctionIds>PsiLevy</we:customFunctionIds>
        <we:customFunctionIds>PsiReciprocal</we:customFunctionIds>
        <we:customFunctionIds>PsiVary</we:customFunctionIds>
        <we:customFunctionIds>PsiMVLogNormal</we:customFunctionIds>
        <we:customFunctionIds>PsiMVNormal</we:customFunctionIds>
        <we:customFunctionIds>PsiMVResample</we:customFunctionIds>
        <we:customFunctionIds>PsiMVShuffle</we:customFunctionIds>
        <we:customFunctionIds>PsiMean</we:customFunctionIds>
        <we:customFunctionIds>PsiTheoMean</we:customFunctionIds>
        <we:customFunctionIds>PsiLock</we:customFunctionIds>
        <we:customFunctionIds>PsiName</we:customFunctionIds>
        <we:customFunctionIds>PsiShift</we:customFunctionIds>
        <we:customFunctionIds>PsiSample</we:customFunctionIds>
        <we:customFunctionIds>PsiTruncate</we:customFunctionIds>
        <we:customFunctionIds>PsiSeed</we:customFunctionIds>
        <we:customFunctionIds>PsiSixSigma</we:customFunctionIds>
        <we:customFunctionIds>PsiTSSync</we:customFunctionIds>
        <we:customFunctionIds>PsiConvergence</we:customFunctionIds>
        <we:customFunctionIds>PsiIsDate</we:customFunctionIds>
        <we:customFunctionIds>PsiIsDiscrete</we:customFunctionIds>
        <we:customFunctionIds>PsiLibrary</we:customFunctionIds>
        <we:customFunctionIds>PsiFitInfo</we:customFunctionIds>
        <we:customFunctionIds>PsiOutput</we:customFunctionIds>
        <we:customFunctionIds>PsiInput</we:customFunctionIds>
        <we:customFunctionIds>PsiSimParam</we:customFunctionIds>
        <we:customFunctionIds>PsiSenParam</we:customFunctionIds>
        <we:customFunctionIds>PsiOptParam</we:customFunctionIds>
        <we:customFunctionIds>PsiCalcParam</we:customFunctionIds>
        <we:customFunctionIds>PsiSlurp</we:customFunctionIds>
        <we:customFunctionIds>PsiSip</we:customFunctionIds>
        <we:customFunctionIds>PsiTSSip</we:customFunctionIds>
        <we:customFunctionIds>PsiCorrMatrix</we:customFunctionIds>
        <we:customFunctionIds>PsiCorrDepen</we:customFunctionIds>
        <we:customFunctionIds>PsiCorrIndep</we:customFunctionIds>
        <we:customFunctionIds>PsiFit</we:customFunctionIds>
        <we:customFunctionIds>PsiData</we:customFunctionIds>
        <we:customFunctionIds>PsiKurtosis</we:customFunctionIds>
        <we:customFunctionIds>PsiTheoKurtosis</we:customFunctionIds>
        <we:customFunctionIds>PsiMax</we:customFunctionIds>
        <we:customFunctionIds>PsiTheoMax</we:customFunctionIds>
        <we:customFunctionIds>PsiMin</we:customFunctionIds>
        <we:customFunctionIds>PsiTheoMin</we:customFunctionIds>
        <we:customFunctionIds>PsiMode</we:customFunctionIds>
        <we:customFunctionIds>PsiTheoMode</we:customFunctionIds>
        <we:customFunctionIds>PsiPercentile</we:customFunctionIds>
        <we:customFunctionIds>PsiTheoPercentile</we:customFunctionIds>
        <we:customFunctionIds>PsiPtoX</we:customFunctionIds>
        <we:customFunctionIds>PsiTheoPtoX</we:customFunctionIds>
        <we:customFunctionIds>PsiPercentileD</we:customFunctionIds>
        <we:customFunctionIds>PsiTheoPercentileD</we:customFunctionIds>
        <we:customFunctionIds>PsiQtoX</we:customFunctionIds>
        <we:customFunctionIds>PsiTheoQtoX</we:customFunctionIds>
        <we:customFunctionIds>PsiRange</we:customFunctionIds>
        <we:customFunctionIds>PsiTheoRange</we:customFunctionIds>
        <we:customFunctionIds>PsiSkewness</we:customFunctionIds>
        <we:customFunctionIds>PsiTheoSkewness</we:customFunctionIds>
        <we:customFunctionIds>PsiStdDev</we:customFunctionIds>
        <we:customFunctionIds>PsiTheoStdDev</we:customFunctionIds>
        <we:customFunctionIds>PsiTarget</we:customFunctionIds>
        <we:customFunctionIds>PsiTheoTarget</we:customFunctionIds>
        <we:customFunctionIds>PsiXtoP</we:customFunctionIds>
        <we:customFunctionIds>PsiTheoXtoP</we:customFunctionIds>
        <we:customFunctionIds>PsiTargetD</we:customFunctionIds>
        <we:customFunctionIds>PsiTheoTargetD</we:customFunctionIds>
        <we:customFunctionIds>PsiXtoQ</we:customFunctionIds>
        <we:customFunctionIds>PsiTheoXtoQ</we:customFunctionIds>
        <we:customFunctionIds>PsiTheoXtoY</we:customFunctionIds>
        <we:customFunctionIds>PsiVariance</we:customFunctionIds>
        <we:customFunctionIds>PsiTheoVariance</we:customFunctionIds>
        <we:customFunctionIds>PsiAbsDev</we:customFunctionIds>
        <we:customFunctionIds>PsiCITrials</we:customFunctionIds>
        <we:customFunctionIds>PsiCorrelation</we:customFunctionIds>
        <we:customFunctionIds>PsiFrequency</we:customFunctionIds>
        <we:customFunctionIds>PsiMeanCI</we:customFunctionIds>
        <we:customFunctionIds>PsiMeanCIB</we:customFunctionIds>
        <we:customFunctionIds>PsiSemiDev</we:customFunctionIds>
        <we:customFunctionIds>PsiSemiDev2</we:customFunctionIds>
        <we:customFunctionIds>PsiSemiVar</we:customFunctionIds>
        <we:customFunctionIds>PsiSemiVar2</we:customFunctionIds>
        <we:customFunctionIds>PsiStdDevCI</we:customFunctionIds>
        <we:customFunctionIds>PsiBVaR</we:customFunctionIds>
        <we:customFunctionIds>PsiCVaR</we:customFunctionIds>
        <we:customFunctionIds>PsiCurrentTrial</we:customFunctionIds>
        <we:customFunctionIds>PsiCurrentSim</we:customFunctionIds>
        <we:customFunctionIds>PsiCount</we:customFunctionIds>
        <we:customFunctionIds>PsiSenValue</we:customFunctionIds>
        <we:customFunctionIds>PsiCurrentOpt</we:customFunctionIds>
        <we:customFunctionIds>PsiMedian</we:customFunctionIds>
        <we:customFunctionIds>PsiTheoMedian</we:customFunctionIds>
        <we:customFunctionIds>PsiDim</we:customFunctionIds>
        <we:customFunctionIds>PsiCube</we:customFunctionIds>
        <we:customFunctionIds>PsiReduce</we:customFunctionIds>
        <we:customFunctionIds>PsiJoin</we:customFunctionIds>
        <we:customFunctionIds>PsiOptStatus</we:customFunctionIds>
        <we:customFunctionIds>PsiPivotCube</we:customFunctionIds>
        <we:customFunctionIds>PsiCalcValue</we:customFunctionIds>
        <we:customFunctionIds>PsiOptData</we:customFunctionIds>
        <we:customFunctionIds>PsiParamDim</we:customFunctionIds>
        <we:customFunctionIds>PsiPivotDim</we:customFunctionIds>
        <we:customFunctionIds>PsiCubeOutput</we:customFunctionIds>
        <we:customFunctionIds>PsiDimLock</we:customFunctionIds>
        <we:customFunctionIds>PsiDimActive</we:customFunctionIds>
        <we:customFunctionIds>PsiCubeData</we:customFunctionIds>
        <we:customFunctionIds>PsiSimOutput</we:customFunctionIds>
        <we:customFunctionIds>PsiSimData</we:customFunctionIds>
        <we:customFunctionIds>PsiResample</we:customFunctionIds>
        <we:customFunctionIds>PsiTableCube</we:customFunctionIds>
        <we:customFunctionIds>PsiCompound</we:customFunctionIds>
        <we:customFunctionIds>PsiCopula</we:customFunctionIds>
        <we:customFunctionIds>PsiCopulaStudent</we:customFunctionIds>
        <we:customFunctionIds>PsiCopulaGauss</we:customFunctionIds>
        <we:customFunctionIds>PsiKendallTau</we:customFunctionIds>
        <we:customFunctionIds>PsiSpearmanRho</we:customFunctionIds>
        <we:customFunctionIds>PsiMetalog</we:customFunctionIds>
        <we:customFunctionIds>PsiMetalogSPT</we:customFunctionIds>
        <we:customFunctionIds>PsiMetalogFit</we:customFunctionIds>
        <we:customFunctionIds>PsiDataSrc</we:customFunctionIds>
        <we:customFunctionIds>PsiModelSrc</we:customFunctionIds>
        <we:customFunctionIds>PsiSigmaCP</we:customFunctionIds>
        <we:customFunctionIds>PsiSigmaCPK</we:customFunctionIds>
        <we:customFunctionIds>PsiSigmaCPKLower</we:customFunctionIds>
        <we:customFunctionIds>PsiSigmaCPKUpper</we:customFunctionIds>
        <we:customFunctionIds>PsiSigmaCPM</we:customFunctionIds>
        <we:customFunctionIds>PsiSigmaDefectPPM</we:customFunctionIds>
        <we:customFunctionIds>PsiSigmaDefectShiftPPM</we:customFunctionIds>
        <we:customFunctionIds>PsiSigmaDefectShiftPPMLower</we:customFunctionIds>
        <we:customFunctionIds>PsiSigmaDefectShiftPPMUpper</we:customFunctionIds>
        <we:customFunctionIds>PsiSigmaK</we:customFunctionIds>
        <we:customFunctionIds>PsiSigmaLowerBound</we:customFunctionIds>
        <we:customFunctionIds>PsiSigmaProbDefectShift</we:customFunctionIds>
        <we:customFunctionIds>PsiSigmaProbDefectShiftLower</we:customFunctionIds>
        <we:customFunctionIds>PsiSigmaProbDefectShiftUpper</we:customFunctionIds>
        <we:customFunctionIds>PsiSigmaSigmaLevel</we:customFunctionIds>
        <we:customFunctionIds>PsiSigmaUpperBound</we:customFunctionIds>
        <we:customFunctionIds>PsiSigmaYield</we:customFunctionIds>
        <we:customFunctionIds>PsiSigmaZLower</we:customFunctionIds>
        <we:customFunctionIds>PsiSigmaZMin</we:customFunctionIds>
        <we:customFunctionIds>PsiSigmaZUpper</we:customFunctionIds>
        <we:customFunctionIds>PsiBetaGenAlt</we:customFunctionIds>
        <we:customFunctionIds>PsiCauchyAlt</we:customFunctionIds>
        <we:customFunctionIds>PsiChiSquareAlt</we:customFunctionIds>
        <we:customFunctionIds>PsiErfAlt</we:customFunctionIds>
        <we:customFunctionIds>PsiExponentialAlt</we:customFunctionIds>
        <we:customFunctionIds>PsiGammaAlt</we:customFunctionIds>
        <we:customFunctionIds>PsiInvNormalAlt</we:customFunctionIds>
        <we:customFunctionIds>PsiLaplaceAlt</we:customFunctionIds>
        <we:customFunctionIds>PsiLogisticAlt</we:customFunctionIds>
        <we:customFunctionIds>PsiLogLogisticAlt</we:customFunctionIds>
        <we:customFunctionIds>PsiLogNormalAlt</we:customFunctionIds>
        <we:customFunctionIds>PsiMaxExtremeAlt</we:customFunctionIds>
        <we:customFunctionIds>PsiMinExtremeAlt</we:customFunctionIds>
        <we:customFunctionIds>PsiNormalAlt</we:customFunctionIds>
        <we:customFunctionIds>PsiUniformAlt</we:customFunctionIds>
        <we:customFunctionIds>PsiTriangularAlt</we:customFunctionIds>
        <we:customFunctionIds>PsiParetoAlt</we:customFunctionIds>
        <we:customFunctionIds>PsiPareto2Alt</we:customFunctionIds>
        <we:customFunctionIds>PsiPearson5Alt</we:customFunctionIds>
        <we:customFunctionIds>PsiPearson6Alt</we:customFunctionIds>
        <we:customFunctionIds>PsiPertAlt</we:customFunctionIds>
        <we:customFunctionIds>PsiRayleighAlt</we:customFunctionIds>
        <we:customFunctionIds>PsiStudentAlt</we:customFunctionIds>
        <we:customFunctionIds>PsiWeibullAlt</we:customFunctionIds>
        <we:customFunctionIds>PsiOptValue</we:customFunctionIds>
        <we:customFunctionIds>PsiCoeffVar</we:customFunctionIds>
        <we:customFunctionIds>PsiStdErr</we:customFunctionIds>
        <we:customFunctionIds>PsiExpGain</we:customFunctionIds>
        <we:customFunctionIds>PsiExpGainRatio</we:customFunctionIds>
        <we:customFunctionIds>PsiExpLoss</we:customFunctionIds>
        <we:customFunctionIds>PsiExpLossRatio</we:customFunctionIds>
        <we:customFunctionIds>PsiExpValMargin</we:customFunctionIds>
        <we:customFunctionIds>PsiCertified</we:customFunctionIds>
        <we:customFunctionIds>PsiCensor</we:customFunctionIds>
        <we:customFunctionIds>PsiBaseCase</we:customFunctionIds>
        <we:customFunctionIds>PsiForecastETS</we:customFunctionIds>
        <we:customFunctionIds>PsiForecastLinear</we:customFunctionIds>
        <we:customFunctionIds>DotProduct</we:customFunctionIds>
        <we:customFunctionIds>QuadProduct</we:customFunctionIds>
        <we:customFunctionIds>PsiDecTable</we:customFunctionIds>
        <we:customFunctionIds>PsiBoxFunction</we:customFunctionIds>
        <we:customFunctionIds>PsiInitialValue</we:customFunctionIds>
        <we:customFunctionIds>PsiFinalValue</we:customFunctionIds>
        <we:customFunctionIds>PsiDualValue</we:customFunctionIds>
        <we:customFunctionIds>PsiSlackValue</we:customFunctionIds>
        <we:customFunctionIds>PsiDualUpper</we:customFunctionIds>
        <we:customFunctionIds>PsiDualLower</we:customFunctionIds>
        <we:customFunctionIds>PsiTSIntegrate</we:customFunctionIds>
        <we:customFunctionIds>PsiTransform</we:customFunctionIds>
        <we:customFunctionIds>PsiTSSeasonality</we:customFunctionIds>
        <we:customFunctionIds>PsiTSLen</we:customFunctionIds>
        <we:customFunctionIds>PsiAR1</we:customFunctionIds>
        <we:customFunctionIds>PsiAR2</we:customFunctionIds>
        <we:customFunctionIds>PsiMA1</we:customFunctionIds>
        <we:customFunctionIds>PsiMA2</we:customFunctionIds>
        <we:customFunctionIds>PsiARMA11</we:customFunctionIds>
        <we:customFunctionIds>PsiARCH1</we:customFunctionIds>
        <we:customFunctionIds>PsiGARCH11</we:customFunctionIds>
        <we:customFunctionIds>PsiEGARCH11</we:customFunctionIds>
        <we:customFunctionIds>PsiAPARCH11</we:customFunctionIds>
        <we:customFunctionIds>PsiTargetCI</we:customFunctionIds>
        <we:customFunctionIds>PsiPercentileCI</we:customFunctionIds>
        <we:customFunctionIds>PsiPercentiles</we:customFunctionIds>
        <we:customFunctionIds>PsiModelDesc</we:customFunctionIds>
        <we:customFunctionIds>PsiCorrectCorrmat</we:customFunctionIds>
        <we:customFunctionIds>PsiStatic</we:customFunctionIds>
        <we:customFunctionIds>PsiMakeInput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.xml"/><Relationship Id="rId18" Type="http://schemas.openxmlformats.org/officeDocument/2006/relationships/ctrlProp" Target="../ctrlProps/ctrlProp13.xml"/><Relationship Id="rId26" Type="http://schemas.openxmlformats.org/officeDocument/2006/relationships/ctrlProp" Target="../ctrlProps/ctrlProp21.xml"/><Relationship Id="rId39" Type="http://schemas.openxmlformats.org/officeDocument/2006/relationships/ctrlProp" Target="../ctrlProps/ctrlProp34.xml"/><Relationship Id="rId21" Type="http://schemas.openxmlformats.org/officeDocument/2006/relationships/ctrlProp" Target="../ctrlProps/ctrlProp16.xml"/><Relationship Id="rId34" Type="http://schemas.openxmlformats.org/officeDocument/2006/relationships/ctrlProp" Target="../ctrlProps/ctrlProp29.xml"/><Relationship Id="rId42" Type="http://schemas.openxmlformats.org/officeDocument/2006/relationships/ctrlProp" Target="../ctrlProps/ctrlProp37.xml"/><Relationship Id="rId47" Type="http://schemas.openxmlformats.org/officeDocument/2006/relationships/ctrlProp" Target="../ctrlProps/ctrlProp42.xml"/><Relationship Id="rId50" Type="http://schemas.openxmlformats.org/officeDocument/2006/relationships/ctrlProp" Target="../ctrlProps/ctrlProp45.xml"/><Relationship Id="rId55" Type="http://schemas.openxmlformats.org/officeDocument/2006/relationships/ctrlProp" Target="../ctrlProps/ctrlProp50.xml"/><Relationship Id="rId7" Type="http://schemas.openxmlformats.org/officeDocument/2006/relationships/ctrlProp" Target="../ctrlProps/ctrlProp2.xml"/><Relationship Id="rId2" Type="http://schemas.openxmlformats.org/officeDocument/2006/relationships/hyperlink" Target="https://enroll.utdallas.edu/transfer/plans/" TargetMode="External"/><Relationship Id="rId16" Type="http://schemas.openxmlformats.org/officeDocument/2006/relationships/ctrlProp" Target="../ctrlProps/ctrlProp11.xml"/><Relationship Id="rId29" Type="http://schemas.openxmlformats.org/officeDocument/2006/relationships/ctrlProp" Target="../ctrlProps/ctrlProp24.xml"/><Relationship Id="rId11" Type="http://schemas.openxmlformats.org/officeDocument/2006/relationships/ctrlProp" Target="../ctrlProps/ctrlProp6.xml"/><Relationship Id="rId24" Type="http://schemas.openxmlformats.org/officeDocument/2006/relationships/ctrlProp" Target="../ctrlProps/ctrlProp19.xml"/><Relationship Id="rId32" Type="http://schemas.openxmlformats.org/officeDocument/2006/relationships/ctrlProp" Target="../ctrlProps/ctrlProp27.xml"/><Relationship Id="rId37" Type="http://schemas.openxmlformats.org/officeDocument/2006/relationships/ctrlProp" Target="../ctrlProps/ctrlProp32.xml"/><Relationship Id="rId40" Type="http://schemas.openxmlformats.org/officeDocument/2006/relationships/ctrlProp" Target="../ctrlProps/ctrlProp35.xml"/><Relationship Id="rId45" Type="http://schemas.openxmlformats.org/officeDocument/2006/relationships/ctrlProp" Target="../ctrlProps/ctrlProp40.xml"/><Relationship Id="rId53" Type="http://schemas.openxmlformats.org/officeDocument/2006/relationships/ctrlProp" Target="../ctrlProps/ctrlProp48.xml"/><Relationship Id="rId58" Type="http://schemas.openxmlformats.org/officeDocument/2006/relationships/ctrlProp" Target="../ctrlProps/ctrlProp53.xml"/><Relationship Id="rId5" Type="http://schemas.openxmlformats.org/officeDocument/2006/relationships/vmlDrawing" Target="../drawings/vmlDrawing1.vml"/><Relationship Id="rId19" Type="http://schemas.openxmlformats.org/officeDocument/2006/relationships/ctrlProp" Target="../ctrlProps/ctrlProp14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Relationship Id="rId22" Type="http://schemas.openxmlformats.org/officeDocument/2006/relationships/ctrlProp" Target="../ctrlProps/ctrlProp17.xml"/><Relationship Id="rId27" Type="http://schemas.openxmlformats.org/officeDocument/2006/relationships/ctrlProp" Target="../ctrlProps/ctrlProp22.xml"/><Relationship Id="rId30" Type="http://schemas.openxmlformats.org/officeDocument/2006/relationships/ctrlProp" Target="../ctrlProps/ctrlProp25.xml"/><Relationship Id="rId35" Type="http://schemas.openxmlformats.org/officeDocument/2006/relationships/ctrlProp" Target="../ctrlProps/ctrlProp30.xml"/><Relationship Id="rId43" Type="http://schemas.openxmlformats.org/officeDocument/2006/relationships/ctrlProp" Target="../ctrlProps/ctrlProp38.xml"/><Relationship Id="rId48" Type="http://schemas.openxmlformats.org/officeDocument/2006/relationships/ctrlProp" Target="../ctrlProps/ctrlProp43.xml"/><Relationship Id="rId56" Type="http://schemas.openxmlformats.org/officeDocument/2006/relationships/ctrlProp" Target="../ctrlProps/ctrlProp51.xml"/><Relationship Id="rId8" Type="http://schemas.openxmlformats.org/officeDocument/2006/relationships/ctrlProp" Target="../ctrlProps/ctrlProp3.xml"/><Relationship Id="rId51" Type="http://schemas.openxmlformats.org/officeDocument/2006/relationships/ctrlProp" Target="../ctrlProps/ctrlProp46.xml"/><Relationship Id="rId3" Type="http://schemas.openxmlformats.org/officeDocument/2006/relationships/printerSettings" Target="../printerSettings/printerSettings1.bin"/><Relationship Id="rId12" Type="http://schemas.openxmlformats.org/officeDocument/2006/relationships/ctrlProp" Target="../ctrlProps/ctrlProp7.xml"/><Relationship Id="rId17" Type="http://schemas.openxmlformats.org/officeDocument/2006/relationships/ctrlProp" Target="../ctrlProps/ctrlProp12.xml"/><Relationship Id="rId25" Type="http://schemas.openxmlformats.org/officeDocument/2006/relationships/ctrlProp" Target="../ctrlProps/ctrlProp20.xml"/><Relationship Id="rId33" Type="http://schemas.openxmlformats.org/officeDocument/2006/relationships/ctrlProp" Target="../ctrlProps/ctrlProp28.xml"/><Relationship Id="rId38" Type="http://schemas.openxmlformats.org/officeDocument/2006/relationships/ctrlProp" Target="../ctrlProps/ctrlProp33.xml"/><Relationship Id="rId46" Type="http://schemas.openxmlformats.org/officeDocument/2006/relationships/ctrlProp" Target="../ctrlProps/ctrlProp41.xml"/><Relationship Id="rId20" Type="http://schemas.openxmlformats.org/officeDocument/2006/relationships/ctrlProp" Target="../ctrlProps/ctrlProp15.xml"/><Relationship Id="rId41" Type="http://schemas.openxmlformats.org/officeDocument/2006/relationships/ctrlProp" Target="../ctrlProps/ctrlProp36.xml"/><Relationship Id="rId54" Type="http://schemas.openxmlformats.org/officeDocument/2006/relationships/ctrlProp" Target="../ctrlProps/ctrlProp49.xml"/><Relationship Id="rId1" Type="http://schemas.openxmlformats.org/officeDocument/2006/relationships/hyperlink" Target="https://enroll.utdallas.edu/transfer/plans/" TargetMode="External"/><Relationship Id="rId6" Type="http://schemas.openxmlformats.org/officeDocument/2006/relationships/ctrlProp" Target="../ctrlProps/ctrlProp1.xml"/><Relationship Id="rId15" Type="http://schemas.openxmlformats.org/officeDocument/2006/relationships/ctrlProp" Target="../ctrlProps/ctrlProp10.xml"/><Relationship Id="rId23" Type="http://schemas.openxmlformats.org/officeDocument/2006/relationships/ctrlProp" Target="../ctrlProps/ctrlProp18.xml"/><Relationship Id="rId28" Type="http://schemas.openxmlformats.org/officeDocument/2006/relationships/ctrlProp" Target="../ctrlProps/ctrlProp23.xml"/><Relationship Id="rId36" Type="http://schemas.openxmlformats.org/officeDocument/2006/relationships/ctrlProp" Target="../ctrlProps/ctrlProp31.xml"/><Relationship Id="rId49" Type="http://schemas.openxmlformats.org/officeDocument/2006/relationships/ctrlProp" Target="../ctrlProps/ctrlProp44.xml"/><Relationship Id="rId57" Type="http://schemas.openxmlformats.org/officeDocument/2006/relationships/ctrlProp" Target="../ctrlProps/ctrlProp52.xml"/><Relationship Id="rId10" Type="http://schemas.openxmlformats.org/officeDocument/2006/relationships/ctrlProp" Target="../ctrlProps/ctrlProp5.xml"/><Relationship Id="rId31" Type="http://schemas.openxmlformats.org/officeDocument/2006/relationships/ctrlProp" Target="../ctrlProps/ctrlProp26.xml"/><Relationship Id="rId44" Type="http://schemas.openxmlformats.org/officeDocument/2006/relationships/ctrlProp" Target="../ctrlProps/ctrlProp39.xml"/><Relationship Id="rId52" Type="http://schemas.openxmlformats.org/officeDocument/2006/relationships/ctrlProp" Target="../ctrlProps/ctrlProp47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javascript:submitAction_win5(document.win5,'CRSE_LINK$7');" TargetMode="External"/><Relationship Id="rId13" Type="http://schemas.openxmlformats.org/officeDocument/2006/relationships/vmlDrawing" Target="../drawings/vmlDrawing2.vml"/><Relationship Id="rId3" Type="http://schemas.openxmlformats.org/officeDocument/2006/relationships/hyperlink" Target="javascript:submitAction_win5(document.win5,'CRSE_LINK$2');" TargetMode="External"/><Relationship Id="rId7" Type="http://schemas.openxmlformats.org/officeDocument/2006/relationships/hyperlink" Target="javascript:submitAction_win5(document.win5,'CRSE_LINK$6');" TargetMode="External"/><Relationship Id="rId12" Type="http://schemas.openxmlformats.org/officeDocument/2006/relationships/drawing" Target="../drawings/drawing2.xml"/><Relationship Id="rId2" Type="http://schemas.openxmlformats.org/officeDocument/2006/relationships/hyperlink" Target="javascript:submitAction_win5(document.win5,'CRSE_LINK$1');" TargetMode="External"/><Relationship Id="rId1" Type="http://schemas.openxmlformats.org/officeDocument/2006/relationships/hyperlink" Target="javascript:submitAction_win5(document.win5,'CRSE_LINK$0');" TargetMode="External"/><Relationship Id="rId6" Type="http://schemas.openxmlformats.org/officeDocument/2006/relationships/hyperlink" Target="javascript:submitAction_win5(document.win5,'CRSE_LINK$5');" TargetMode="External"/><Relationship Id="rId11" Type="http://schemas.openxmlformats.org/officeDocument/2006/relationships/hyperlink" Target="javascript:submitAction_win5(document.win5,'CRSE_LINK$10');" TargetMode="External"/><Relationship Id="rId5" Type="http://schemas.openxmlformats.org/officeDocument/2006/relationships/hyperlink" Target="javascript:submitAction_win5(document.win5,'CRSE_LINK$4');" TargetMode="External"/><Relationship Id="rId10" Type="http://schemas.openxmlformats.org/officeDocument/2006/relationships/hyperlink" Target="javascript:submitAction_win5(document.win5,'CRSE_LINK$9');" TargetMode="External"/><Relationship Id="rId4" Type="http://schemas.openxmlformats.org/officeDocument/2006/relationships/hyperlink" Target="javascript:submitAction_win5(document.win5,'CRSE_LINK$3');" TargetMode="External"/><Relationship Id="rId9" Type="http://schemas.openxmlformats.org/officeDocument/2006/relationships/hyperlink" Target="javascript:submitAction_win5(document.win5,'CRSE_LINK$8');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s://coursebook.utdallas.edu/search/now/ams2300" TargetMode="External"/><Relationship Id="rId2" Type="http://schemas.openxmlformats.org/officeDocument/2006/relationships/hyperlink" Target="https://coursebook.utdallas.edu/search/now/musi2322" TargetMode="External"/><Relationship Id="rId1" Type="http://schemas.openxmlformats.org/officeDocument/2006/relationships/hyperlink" Target="https://coursebook.utdallas.edu/search/now/crwt2301" TargetMode="External"/><Relationship Id="rId4" Type="http://schemas.openxmlformats.org/officeDocument/2006/relationships/hyperlink" Target="https://coursebook.utdallas.edu/search/now/ams2341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https://engineering.utdallas.edu/academics/undergraduate-majors/undergrad-advising/current-students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31B91-D185-47C5-BA06-4CF71C863DF7}">
  <sheetPr codeName="Sheet10">
    <pageSetUpPr fitToPage="1"/>
  </sheetPr>
  <dimension ref="A1:T74"/>
  <sheetViews>
    <sheetView showGridLines="0" tabSelected="1" topLeftCell="A38" zoomScale="115" zoomScaleNormal="115" workbookViewId="0">
      <selection activeCell="I55" sqref="I55"/>
    </sheetView>
  </sheetViews>
  <sheetFormatPr defaultColWidth="9.140625" defaultRowHeight="15" x14ac:dyDescent="0.25"/>
  <cols>
    <col min="1" max="1" width="8" style="21" bestFit="1" customWidth="1"/>
    <col min="2" max="2" width="40.85546875" bestFit="1" customWidth="1"/>
    <col min="3" max="3" width="18.28515625" customWidth="1"/>
    <col min="4" max="4" width="14.140625" bestFit="1" customWidth="1"/>
    <col min="5" max="5" width="14.140625" customWidth="1"/>
    <col min="6" max="6" width="5.5703125" bestFit="1" customWidth="1"/>
    <col min="7" max="7" width="0.140625" style="1" customWidth="1"/>
    <col min="8" max="8" width="29.140625" customWidth="1"/>
    <col min="9" max="9" width="48.140625" bestFit="1" customWidth="1"/>
    <col min="10" max="10" width="19.28515625" customWidth="1"/>
    <col min="11" max="11" width="10" hidden="1" customWidth="1"/>
    <col min="12" max="12" width="9.140625" customWidth="1"/>
    <col min="13" max="13" width="1.140625" customWidth="1"/>
    <col min="14" max="14" width="6.7109375" customWidth="1"/>
  </cols>
  <sheetData>
    <row r="1" spans="1:20" ht="30" customHeight="1" x14ac:dyDescent="0.25">
      <c r="A1" s="145" t="s">
        <v>507</v>
      </c>
      <c r="B1" s="145"/>
      <c r="C1" s="145"/>
      <c r="D1" s="145"/>
      <c r="E1" s="145"/>
      <c r="F1" s="145"/>
      <c r="G1" s="145"/>
      <c r="H1" s="145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</row>
    <row r="2" spans="1:20" s="155" customFormat="1" ht="15.95" customHeight="1" x14ac:dyDescent="0.25">
      <c r="A2" s="194" t="s">
        <v>0</v>
      </c>
      <c r="B2" s="195"/>
      <c r="C2" s="195"/>
      <c r="D2" s="195"/>
      <c r="E2" s="195"/>
      <c r="F2" s="195"/>
      <c r="G2" s="195"/>
      <c r="H2" s="195"/>
    </row>
    <row r="3" spans="1:20" ht="15.95" customHeight="1" thickBot="1" x14ac:dyDescent="0.3">
      <c r="A3" s="41" t="s">
        <v>1</v>
      </c>
      <c r="B3" s="45"/>
      <c r="C3" s="176" t="s">
        <v>505</v>
      </c>
      <c r="D3" s="41"/>
      <c r="E3" s="41" t="s">
        <v>2</v>
      </c>
      <c r="F3" s="198"/>
      <c r="G3" s="198"/>
      <c r="H3" s="198"/>
    </row>
    <row r="4" spans="1:20" ht="15.95" customHeight="1" x14ac:dyDescent="0.25">
      <c r="A4" s="25"/>
      <c r="B4" s="8"/>
      <c r="C4" s="177" t="s">
        <v>506</v>
      </c>
      <c r="D4" s="24"/>
      <c r="E4" s="24"/>
      <c r="F4" s="8"/>
      <c r="G4" s="8"/>
      <c r="H4" s="8"/>
    </row>
    <row r="5" spans="1:20" ht="23.1" customHeight="1" x14ac:dyDescent="0.25">
      <c r="A5" s="120" t="s">
        <v>3</v>
      </c>
      <c r="B5" s="120"/>
      <c r="C5" s="120"/>
      <c r="D5" s="120"/>
      <c r="E5" s="120"/>
      <c r="F5" s="120"/>
      <c r="G5" s="120"/>
      <c r="H5" s="120"/>
    </row>
    <row r="6" spans="1:20" ht="22.5" x14ac:dyDescent="0.25">
      <c r="A6" s="2" t="s">
        <v>4</v>
      </c>
      <c r="B6" s="18" t="s">
        <v>5</v>
      </c>
      <c r="C6" s="85" t="s">
        <v>6</v>
      </c>
      <c r="D6" s="55" t="s">
        <v>8</v>
      </c>
      <c r="E6" s="20" t="s">
        <v>9</v>
      </c>
      <c r="F6" s="78" t="s">
        <v>10</v>
      </c>
      <c r="G6" s="19"/>
      <c r="H6" s="20" t="s">
        <v>11</v>
      </c>
    </row>
    <row r="7" spans="1:20" ht="15.95" customHeight="1" x14ac:dyDescent="0.25">
      <c r="A7" s="50">
        <v>1</v>
      </c>
      <c r="B7" s="7" t="s">
        <v>12</v>
      </c>
      <c r="C7" s="82" t="s">
        <v>13</v>
      </c>
      <c r="D7" s="56" t="s">
        <v>536</v>
      </c>
      <c r="E7" s="76" t="s">
        <v>535</v>
      </c>
      <c r="F7" s="77"/>
      <c r="G7" t="b">
        <v>1</v>
      </c>
      <c r="H7" s="88"/>
    </row>
    <row r="8" spans="1:20" ht="15.95" customHeight="1" x14ac:dyDescent="0.25">
      <c r="A8" s="53">
        <v>2</v>
      </c>
      <c r="B8" s="52" t="s">
        <v>14</v>
      </c>
      <c r="C8" s="86" t="s">
        <v>15</v>
      </c>
      <c r="D8" s="56" t="s">
        <v>536</v>
      </c>
      <c r="E8" s="56" t="s">
        <v>535</v>
      </c>
      <c r="F8" s="49"/>
      <c r="G8" t="b">
        <v>1</v>
      </c>
      <c r="H8" s="89"/>
    </row>
    <row r="9" spans="1:20" x14ac:dyDescent="0.25">
      <c r="A9" s="51"/>
      <c r="B9" s="46"/>
      <c r="C9" s="47"/>
      <c r="D9" s="29"/>
      <c r="E9" s="29"/>
      <c r="F9" s="48"/>
      <c r="G9"/>
      <c r="H9" s="48"/>
    </row>
    <row r="10" spans="1:20" ht="23.1" customHeight="1" x14ac:dyDescent="0.25">
      <c r="A10" s="120" t="s">
        <v>16</v>
      </c>
      <c r="B10" s="120"/>
      <c r="C10" s="120"/>
      <c r="D10" s="120"/>
      <c r="E10" s="120"/>
      <c r="F10" s="120"/>
      <c r="G10" s="120"/>
      <c r="H10" s="120"/>
    </row>
    <row r="11" spans="1:20" ht="15.95" customHeight="1" x14ac:dyDescent="0.25">
      <c r="A11" s="9">
        <v>4</v>
      </c>
      <c r="B11" s="199" t="s">
        <v>513</v>
      </c>
      <c r="C11" s="238" t="s">
        <v>31</v>
      </c>
      <c r="D11" s="56"/>
      <c r="E11" s="56"/>
      <c r="F11" s="10"/>
      <c r="G11" t="b">
        <v>0</v>
      </c>
      <c r="H11" s="11" t="s">
        <v>557</v>
      </c>
      <c r="K11" t="b">
        <v>0</v>
      </c>
    </row>
    <row r="12" spans="1:20" ht="15.95" customHeight="1" x14ac:dyDescent="0.25">
      <c r="A12" s="9">
        <v>4</v>
      </c>
      <c r="B12" s="200"/>
      <c r="C12" s="240" t="s">
        <v>32</v>
      </c>
      <c r="D12" s="56"/>
      <c r="E12" s="56"/>
      <c r="F12" s="10"/>
      <c r="G12" t="b">
        <v>0</v>
      </c>
      <c r="H12" s="11"/>
      <c r="K12" t="b">
        <v>0</v>
      </c>
    </row>
    <row r="13" spans="1:20" ht="15.95" customHeight="1" x14ac:dyDescent="0.25">
      <c r="A13" s="9">
        <v>4</v>
      </c>
      <c r="B13" s="7" t="s">
        <v>17</v>
      </c>
      <c r="C13" s="242" t="s">
        <v>18</v>
      </c>
      <c r="D13" s="56" t="s">
        <v>554</v>
      </c>
      <c r="E13" s="56" t="s">
        <v>553</v>
      </c>
      <c r="F13" s="10"/>
      <c r="G13" t="b">
        <v>1</v>
      </c>
      <c r="H13" s="11" t="s">
        <v>555</v>
      </c>
    </row>
    <row r="14" spans="1:20" ht="15.95" customHeight="1" x14ac:dyDescent="0.25">
      <c r="A14" s="9">
        <v>4</v>
      </c>
      <c r="B14" s="201" t="s">
        <v>514</v>
      </c>
      <c r="C14" s="242" t="s">
        <v>33</v>
      </c>
      <c r="D14" s="56"/>
      <c r="E14" s="56"/>
      <c r="F14" s="10"/>
      <c r="G14" t="b">
        <v>0</v>
      </c>
      <c r="H14" s="11" t="s">
        <v>560</v>
      </c>
    </row>
    <row r="15" spans="1:20" ht="15.95" customHeight="1" x14ac:dyDescent="0.25">
      <c r="A15" s="9">
        <v>4</v>
      </c>
      <c r="B15" s="200"/>
      <c r="C15" s="241" t="s">
        <v>35</v>
      </c>
      <c r="D15" s="56"/>
      <c r="E15" s="56"/>
      <c r="F15" s="10"/>
      <c r="G15" t="b">
        <v>0</v>
      </c>
      <c r="H15" s="11"/>
    </row>
    <row r="16" spans="1:20" ht="15.95" customHeight="1" x14ac:dyDescent="0.25">
      <c r="A16" s="9">
        <v>3</v>
      </c>
      <c r="B16" s="7" t="s">
        <v>19</v>
      </c>
      <c r="C16" s="242" t="s">
        <v>20</v>
      </c>
      <c r="D16" s="56"/>
      <c r="E16" s="56"/>
      <c r="F16" s="10"/>
      <c r="G16" t="b">
        <v>0</v>
      </c>
      <c r="H16" s="11" t="s">
        <v>561</v>
      </c>
    </row>
    <row r="17" spans="1:11" ht="15.95" customHeight="1" x14ac:dyDescent="0.25">
      <c r="A17" s="9">
        <v>3</v>
      </c>
      <c r="B17" s="7" t="s">
        <v>40</v>
      </c>
      <c r="C17" s="239" t="s">
        <v>41</v>
      </c>
      <c r="D17" s="56"/>
      <c r="E17" s="56"/>
      <c r="F17" s="10"/>
      <c r="G17" t="b">
        <v>0</v>
      </c>
      <c r="H17" s="11" t="s">
        <v>558</v>
      </c>
    </row>
    <row r="18" spans="1:11" ht="15.95" customHeight="1" x14ac:dyDescent="0.25">
      <c r="A18" s="9">
        <v>1</v>
      </c>
      <c r="B18" s="7" t="s">
        <v>43</v>
      </c>
      <c r="C18" s="239" t="s">
        <v>42</v>
      </c>
      <c r="D18" s="56"/>
      <c r="E18" s="56"/>
      <c r="F18" s="10"/>
      <c r="G18" t="b">
        <v>0</v>
      </c>
      <c r="H18" s="11" t="s">
        <v>558</v>
      </c>
    </row>
    <row r="19" spans="1:11" ht="15.95" customHeight="1" x14ac:dyDescent="0.25">
      <c r="A19" s="9">
        <v>3</v>
      </c>
      <c r="B19" s="7" t="s">
        <v>22</v>
      </c>
      <c r="C19" s="192" t="s">
        <v>23</v>
      </c>
      <c r="D19" s="56"/>
      <c r="E19" s="56"/>
      <c r="F19" s="10"/>
      <c r="G19" t="b">
        <v>0</v>
      </c>
      <c r="H19" s="11"/>
    </row>
    <row r="20" spans="1:11" ht="15.95" customHeight="1" x14ac:dyDescent="0.25">
      <c r="A20" s="9">
        <v>3</v>
      </c>
      <c r="B20" s="199" t="s">
        <v>24</v>
      </c>
      <c r="C20" s="192" t="s">
        <v>25</v>
      </c>
      <c r="D20" s="56"/>
      <c r="E20" s="56"/>
      <c r="F20" s="10"/>
      <c r="G20" t="b">
        <v>0</v>
      </c>
      <c r="H20" s="11"/>
    </row>
    <row r="21" spans="1:11" ht="15.95" customHeight="1" x14ac:dyDescent="0.25">
      <c r="A21" s="9">
        <v>3</v>
      </c>
      <c r="B21" s="200"/>
      <c r="C21" s="192" t="s">
        <v>28</v>
      </c>
      <c r="D21" s="56"/>
      <c r="E21" s="56"/>
      <c r="F21" s="10"/>
      <c r="G21" t="b">
        <v>0</v>
      </c>
      <c r="H21" s="11"/>
    </row>
    <row r="22" spans="1:11" ht="15.95" customHeight="1" x14ac:dyDescent="0.25">
      <c r="A22" s="9">
        <v>3</v>
      </c>
      <c r="B22" s="7" t="s">
        <v>29</v>
      </c>
      <c r="C22" s="192" t="s">
        <v>30</v>
      </c>
      <c r="D22" s="56"/>
      <c r="E22" s="56"/>
      <c r="F22" s="10"/>
      <c r="G22" t="b">
        <v>0</v>
      </c>
      <c r="H22" s="11"/>
      <c r="K22" t="b">
        <v>0</v>
      </c>
    </row>
    <row r="23" spans="1:11" ht="15.95" customHeight="1" x14ac:dyDescent="0.25">
      <c r="A23" s="9">
        <v>3</v>
      </c>
      <c r="B23" s="7" t="s">
        <v>45</v>
      </c>
      <c r="C23" s="192" t="s">
        <v>46</v>
      </c>
      <c r="D23" s="56"/>
      <c r="E23" s="56"/>
      <c r="F23" s="10"/>
      <c r="G23" t="b">
        <v>0</v>
      </c>
      <c r="H23" s="11"/>
    </row>
    <row r="24" spans="1:11" ht="15.95" customHeight="1" x14ac:dyDescent="0.25">
      <c r="A24" s="9">
        <v>1</v>
      </c>
      <c r="B24" s="7" t="s">
        <v>49</v>
      </c>
      <c r="C24" s="192" t="s">
        <v>48</v>
      </c>
      <c r="D24" s="56"/>
      <c r="E24" s="56"/>
      <c r="F24" s="10"/>
      <c r="G24" t="b">
        <v>0</v>
      </c>
      <c r="H24" s="11"/>
    </row>
    <row r="25" spans="1:11" ht="15.95" customHeight="1" x14ac:dyDescent="0.25">
      <c r="A25" s="9">
        <v>4</v>
      </c>
      <c r="B25" s="7" t="s">
        <v>37</v>
      </c>
      <c r="C25" s="192" t="s">
        <v>38</v>
      </c>
      <c r="D25" s="56"/>
      <c r="E25" s="56"/>
      <c r="F25" s="10"/>
      <c r="G25" t="b">
        <v>0</v>
      </c>
      <c r="H25" s="11"/>
    </row>
    <row r="26" spans="1:11" ht="15.95" customHeight="1" thickBot="1" x14ac:dyDescent="0.3">
      <c r="A26" s="26">
        <f>SUMIF(G7:G25,"TRUE", A7:A25)</f>
        <v>7</v>
      </c>
      <c r="B26" s="184" t="s">
        <v>508</v>
      </c>
      <c r="C26" s="193"/>
      <c r="D26" s="8"/>
      <c r="E26" s="8"/>
      <c r="F26" s="8"/>
      <c r="G26"/>
      <c r="H26" s="8"/>
    </row>
    <row r="27" spans="1:11" ht="23.1" customHeight="1" thickTop="1" x14ac:dyDescent="0.25">
      <c r="A27" s="3" t="s">
        <v>50</v>
      </c>
      <c r="B27" s="121" t="s">
        <v>51</v>
      </c>
      <c r="C27" s="122"/>
      <c r="D27" s="123"/>
      <c r="E27" s="123"/>
      <c r="F27" s="122"/>
      <c r="G27" s="122"/>
      <c r="H27" s="122"/>
    </row>
    <row r="28" spans="1:11" ht="15.95" customHeight="1" x14ac:dyDescent="0.25">
      <c r="A28" s="5">
        <v>3</v>
      </c>
      <c r="B28" s="16" t="s">
        <v>56</v>
      </c>
      <c r="C28" s="192" t="s">
        <v>57</v>
      </c>
      <c r="D28" s="56"/>
      <c r="E28" s="56"/>
      <c r="F28" s="57"/>
      <c r="G28" t="b">
        <v>0</v>
      </c>
      <c r="H28" s="13"/>
    </row>
    <row r="29" spans="1:11" x14ac:dyDescent="0.25">
      <c r="A29" s="5">
        <v>3</v>
      </c>
      <c r="B29" s="16" t="s">
        <v>59</v>
      </c>
      <c r="C29" s="192" t="s">
        <v>54</v>
      </c>
      <c r="D29" s="56"/>
      <c r="E29" s="56"/>
      <c r="F29" s="57"/>
      <c r="G29" t="b">
        <v>0</v>
      </c>
      <c r="H29" s="13"/>
    </row>
    <row r="30" spans="1:11" ht="15.95" customHeight="1" x14ac:dyDescent="0.25">
      <c r="A30" s="5">
        <v>3</v>
      </c>
      <c r="B30" s="16" t="s">
        <v>64</v>
      </c>
      <c r="C30" s="192" t="s">
        <v>65</v>
      </c>
      <c r="D30" s="56"/>
      <c r="E30" s="56"/>
      <c r="F30" s="57"/>
      <c r="G30" t="b">
        <v>0</v>
      </c>
      <c r="H30" s="13"/>
    </row>
    <row r="31" spans="1:11" ht="15.95" customHeight="1" x14ac:dyDescent="0.25">
      <c r="A31" s="5">
        <v>3</v>
      </c>
      <c r="B31" s="16" t="s">
        <v>87</v>
      </c>
      <c r="C31" s="192" t="s">
        <v>88</v>
      </c>
      <c r="D31" s="56"/>
      <c r="E31" s="56" t="s">
        <v>539</v>
      </c>
      <c r="F31" s="57"/>
      <c r="G31" t="b">
        <v>1</v>
      </c>
      <c r="H31" s="13"/>
    </row>
    <row r="32" spans="1:11" ht="15.95" customHeight="1" x14ac:dyDescent="0.25">
      <c r="A32" s="5">
        <v>3</v>
      </c>
      <c r="B32" s="16" t="s">
        <v>60</v>
      </c>
      <c r="C32" s="192" t="s">
        <v>61</v>
      </c>
      <c r="D32" s="56"/>
      <c r="E32" s="56"/>
      <c r="F32" s="57"/>
      <c r="G32" t="b">
        <v>0</v>
      </c>
      <c r="H32" s="13"/>
    </row>
    <row r="33" spans="1:10" ht="15.95" customHeight="1" x14ac:dyDescent="0.25">
      <c r="A33" s="5">
        <v>3</v>
      </c>
      <c r="B33" s="16" t="s">
        <v>66</v>
      </c>
      <c r="C33" s="81" t="s">
        <v>67</v>
      </c>
      <c r="D33" s="56"/>
      <c r="E33" s="56"/>
      <c r="F33" s="57"/>
      <c r="G33" t="b">
        <v>0</v>
      </c>
      <c r="H33" s="13"/>
    </row>
    <row r="34" spans="1:10" ht="15.95" customHeight="1" x14ac:dyDescent="0.25">
      <c r="A34" s="5">
        <v>3</v>
      </c>
      <c r="B34" s="16" t="s">
        <v>69</v>
      </c>
      <c r="C34" s="81" t="s">
        <v>70</v>
      </c>
      <c r="D34" s="56"/>
      <c r="E34" s="56"/>
      <c r="F34" s="57"/>
      <c r="G34" t="b">
        <v>0</v>
      </c>
      <c r="H34" s="13"/>
    </row>
    <row r="35" spans="1:10" ht="15.95" customHeight="1" x14ac:dyDescent="0.25">
      <c r="A35" s="5">
        <v>1</v>
      </c>
      <c r="B35" s="16" t="s">
        <v>72</v>
      </c>
      <c r="C35" s="81" t="s">
        <v>73</v>
      </c>
      <c r="D35" s="56"/>
      <c r="E35" s="56"/>
      <c r="F35" s="57"/>
      <c r="G35" t="b">
        <v>0</v>
      </c>
      <c r="H35" s="13"/>
    </row>
    <row r="36" spans="1:10" ht="15.95" customHeight="1" x14ac:dyDescent="0.25">
      <c r="A36" s="5">
        <v>1</v>
      </c>
      <c r="B36" s="16" t="s">
        <v>52</v>
      </c>
      <c r="C36" s="81" t="s">
        <v>53</v>
      </c>
      <c r="D36" s="56"/>
      <c r="E36" s="56"/>
      <c r="F36" s="57"/>
      <c r="G36" t="b">
        <v>0</v>
      </c>
      <c r="H36" s="13"/>
    </row>
    <row r="37" spans="1:10" ht="15.95" customHeight="1" x14ac:dyDescent="0.25">
      <c r="A37" s="5">
        <v>3</v>
      </c>
      <c r="B37" s="16" t="s">
        <v>76</v>
      </c>
      <c r="C37" s="81" t="s">
        <v>77</v>
      </c>
      <c r="D37" s="56"/>
      <c r="E37" s="56"/>
      <c r="F37" s="57"/>
      <c r="G37" t="b">
        <v>0</v>
      </c>
      <c r="H37" s="13"/>
    </row>
    <row r="38" spans="1:10" ht="15.95" customHeight="1" x14ac:dyDescent="0.25">
      <c r="A38" s="5">
        <v>3</v>
      </c>
      <c r="B38" s="16" t="s">
        <v>80</v>
      </c>
      <c r="C38" s="81" t="s">
        <v>81</v>
      </c>
      <c r="D38" s="56"/>
      <c r="E38" s="56"/>
      <c r="F38" s="57"/>
      <c r="G38" t="b">
        <v>0</v>
      </c>
      <c r="H38" s="13"/>
    </row>
    <row r="39" spans="1:10" ht="15.95" customHeight="1" x14ac:dyDescent="0.25">
      <c r="A39" s="5">
        <v>3</v>
      </c>
      <c r="B39" s="16" t="s">
        <v>82</v>
      </c>
      <c r="C39" s="81" t="s">
        <v>83</v>
      </c>
      <c r="D39" s="56"/>
      <c r="E39" s="56"/>
      <c r="F39" s="57"/>
      <c r="G39" t="b">
        <v>0</v>
      </c>
      <c r="H39" s="13"/>
    </row>
    <row r="40" spans="1:10" ht="15.95" customHeight="1" x14ac:dyDescent="0.25">
      <c r="A40" s="5">
        <v>3</v>
      </c>
      <c r="B40" s="16" t="s">
        <v>74</v>
      </c>
      <c r="C40" s="81" t="s">
        <v>75</v>
      </c>
      <c r="D40" s="56"/>
      <c r="E40" s="56"/>
      <c r="F40" s="57"/>
      <c r="G40" t="b">
        <v>0</v>
      </c>
      <c r="H40" s="13"/>
    </row>
    <row r="41" spans="1:10" ht="15.95" customHeight="1" x14ac:dyDescent="0.25">
      <c r="A41" s="5">
        <v>4</v>
      </c>
      <c r="B41" s="16" t="s">
        <v>84</v>
      </c>
      <c r="C41" s="81" t="s">
        <v>85</v>
      </c>
      <c r="D41" s="56"/>
      <c r="E41" s="56"/>
      <c r="F41" s="57"/>
      <c r="G41" t="b">
        <v>0</v>
      </c>
      <c r="H41" s="13"/>
    </row>
    <row r="42" spans="1:10" ht="12" customHeight="1" x14ac:dyDescent="0.25">
      <c r="A42" s="185">
        <f>SUMIF(G28:G41,"TRUE", A28:A41)</f>
        <v>3</v>
      </c>
      <c r="B42" s="184" t="s">
        <v>509</v>
      </c>
      <c r="C42" s="8"/>
      <c r="D42" s="8"/>
      <c r="E42" s="8"/>
      <c r="F42" s="8"/>
      <c r="G42" s="8"/>
      <c r="H42" s="8"/>
    </row>
    <row r="43" spans="1:10" ht="23.1" customHeight="1" x14ac:dyDescent="0.25">
      <c r="A43" s="124" t="s">
        <v>90</v>
      </c>
      <c r="B43" s="120"/>
      <c r="C43" s="120"/>
      <c r="D43" s="120"/>
      <c r="E43" s="120"/>
      <c r="F43" s="120"/>
      <c r="G43" s="120"/>
      <c r="H43" s="120"/>
      <c r="I43" s="54"/>
      <c r="J43" s="54"/>
    </row>
    <row r="44" spans="1:10" ht="15.95" customHeight="1" x14ac:dyDescent="0.25">
      <c r="A44" s="5">
        <v>3</v>
      </c>
      <c r="B44" s="16" t="s">
        <v>91</v>
      </c>
      <c r="C44" s="186" t="s">
        <v>92</v>
      </c>
      <c r="D44" s="56"/>
      <c r="E44" s="56"/>
      <c r="F44" s="57"/>
      <c r="G44" t="b">
        <v>0</v>
      </c>
      <c r="H44" s="13"/>
    </row>
    <row r="45" spans="1:10" ht="15.95" customHeight="1" x14ac:dyDescent="0.25">
      <c r="A45" s="5">
        <v>3</v>
      </c>
      <c r="B45" s="16" t="s">
        <v>91</v>
      </c>
      <c r="C45" s="186" t="s">
        <v>92</v>
      </c>
      <c r="D45" s="56"/>
      <c r="E45" s="56"/>
      <c r="F45" s="57"/>
      <c r="G45" t="b">
        <v>0</v>
      </c>
      <c r="H45" s="13"/>
    </row>
    <row r="46" spans="1:10" ht="15.95" customHeight="1" x14ac:dyDescent="0.25">
      <c r="A46" s="5">
        <v>3</v>
      </c>
      <c r="B46" s="115" t="s">
        <v>91</v>
      </c>
      <c r="C46" s="186" t="s">
        <v>92</v>
      </c>
      <c r="D46" s="117"/>
      <c r="E46" s="117"/>
      <c r="F46" s="118"/>
      <c r="G46" t="b">
        <v>0</v>
      </c>
      <c r="H46" s="119"/>
    </row>
    <row r="47" spans="1:10" ht="15.95" customHeight="1" x14ac:dyDescent="0.25">
      <c r="A47" s="116">
        <v>3</v>
      </c>
      <c r="B47" s="16" t="s">
        <v>91</v>
      </c>
      <c r="C47" s="186" t="s">
        <v>92</v>
      </c>
      <c r="D47" s="5"/>
      <c r="E47" s="5"/>
      <c r="F47" s="13"/>
      <c r="G47" s="59" t="b">
        <v>0</v>
      </c>
      <c r="H47" s="13"/>
    </row>
    <row r="48" spans="1:10" ht="12" customHeight="1" thickBot="1" x14ac:dyDescent="0.3">
      <c r="A48" s="12">
        <f>SUMIF(G44:G47,"TRUE", A44:A47)</f>
        <v>0</v>
      </c>
      <c r="B48" s="184" t="s">
        <v>510</v>
      </c>
      <c r="C48" s="156"/>
      <c r="D48" s="80"/>
      <c r="E48" s="80"/>
      <c r="F48" s="80"/>
      <c r="G48" s="80"/>
      <c r="H48" s="80"/>
    </row>
    <row r="49" spans="1:13" ht="23.1" customHeight="1" thickTop="1" x14ac:dyDescent="0.25">
      <c r="A49" s="2" t="s">
        <v>4</v>
      </c>
      <c r="B49" s="121" t="s">
        <v>93</v>
      </c>
      <c r="C49" s="122"/>
      <c r="D49" s="122"/>
      <c r="E49" s="122"/>
      <c r="F49" s="122"/>
      <c r="G49" s="122"/>
      <c r="H49" s="122"/>
    </row>
    <row r="50" spans="1:13" ht="15.95" customHeight="1" x14ac:dyDescent="0.25">
      <c r="A50" s="5">
        <v>3</v>
      </c>
      <c r="B50" s="17" t="s">
        <v>94</v>
      </c>
      <c r="C50" t="s">
        <v>95</v>
      </c>
      <c r="D50" t="s">
        <v>536</v>
      </c>
      <c r="E50" t="s">
        <v>535</v>
      </c>
      <c r="F50" s="13"/>
      <c r="G50" t="b">
        <v>1</v>
      </c>
      <c r="H50" s="13"/>
    </row>
    <row r="51" spans="1:13" ht="15.95" customHeight="1" x14ac:dyDescent="0.25">
      <c r="A51" s="5">
        <v>3</v>
      </c>
      <c r="B51" s="17" t="s">
        <v>96</v>
      </c>
      <c r="C51" t="s">
        <v>97</v>
      </c>
      <c r="E51" t="s">
        <v>539</v>
      </c>
      <c r="F51" s="13"/>
      <c r="G51" t="b">
        <v>1</v>
      </c>
      <c r="H51" s="13"/>
    </row>
    <row r="52" spans="1:13" ht="15.95" customHeight="1" x14ac:dyDescent="0.25">
      <c r="A52" s="5">
        <v>3</v>
      </c>
      <c r="B52" s="17" t="s">
        <v>96</v>
      </c>
      <c r="C52" s="242" t="s">
        <v>559</v>
      </c>
      <c r="D52" s="191"/>
      <c r="E52" s="191"/>
      <c r="F52" s="13"/>
      <c r="G52" t="b">
        <v>0</v>
      </c>
      <c r="H52" s="13" t="s">
        <v>560</v>
      </c>
    </row>
    <row r="53" spans="1:13" ht="15.95" customHeight="1" x14ac:dyDescent="0.25">
      <c r="A53" s="5">
        <v>3</v>
      </c>
      <c r="B53" s="17" t="s">
        <v>98</v>
      </c>
      <c r="C53" s="242" t="s">
        <v>245</v>
      </c>
      <c r="D53" s="191"/>
      <c r="E53" s="191"/>
      <c r="F53" s="13"/>
      <c r="G53" t="b">
        <v>0</v>
      </c>
      <c r="H53" s="13" t="s">
        <v>560</v>
      </c>
    </row>
    <row r="54" spans="1:13" ht="15.95" customHeight="1" x14ac:dyDescent="0.25">
      <c r="A54" s="5">
        <v>3</v>
      </c>
      <c r="B54" s="17" t="s">
        <v>98</v>
      </c>
      <c r="C54" s="242" t="s">
        <v>253</v>
      </c>
      <c r="D54" s="191"/>
      <c r="E54" s="191"/>
      <c r="F54" s="13"/>
      <c r="G54" t="b">
        <v>0</v>
      </c>
      <c r="H54" s="13" t="s">
        <v>560</v>
      </c>
    </row>
    <row r="55" spans="1:13" ht="15.95" customHeight="1" x14ac:dyDescent="0.25">
      <c r="A55" s="5">
        <v>3</v>
      </c>
      <c r="B55" s="17" t="s">
        <v>100</v>
      </c>
      <c r="C55" s="81"/>
      <c r="D55" s="191"/>
      <c r="E55" s="191"/>
      <c r="F55" s="13"/>
      <c r="G55" t="b">
        <v>0</v>
      </c>
      <c r="H55" s="13"/>
    </row>
    <row r="56" spans="1:13" ht="15.95" customHeight="1" x14ac:dyDescent="0.25">
      <c r="A56" s="5">
        <v>3</v>
      </c>
      <c r="B56" s="17" t="s">
        <v>101</v>
      </c>
      <c r="C56" s="81"/>
      <c r="D56" s="191"/>
      <c r="E56" s="191"/>
      <c r="F56" s="13"/>
      <c r="G56" t="b">
        <v>0</v>
      </c>
      <c r="H56" s="13"/>
    </row>
    <row r="57" spans="1:13" ht="15.75" customHeight="1" x14ac:dyDescent="0.25">
      <c r="A57" s="5">
        <v>3</v>
      </c>
      <c r="B57" s="16" t="s">
        <v>102</v>
      </c>
      <c r="C57" s="81" t="s">
        <v>491</v>
      </c>
      <c r="D57" s="191"/>
      <c r="E57" s="191" t="s">
        <v>539</v>
      </c>
      <c r="F57" s="13"/>
      <c r="G57" t="b">
        <v>1</v>
      </c>
      <c r="H57" s="13"/>
    </row>
    <row r="58" spans="1:13" ht="12" customHeight="1" thickBot="1" x14ac:dyDescent="0.3">
      <c r="A58" s="12">
        <f>SUMIF(G50:G57,"TRUE", A50:A57)</f>
        <v>9</v>
      </c>
      <c r="B58" s="184" t="s">
        <v>511</v>
      </c>
      <c r="C58" s="80"/>
      <c r="D58" s="80"/>
      <c r="E58" s="80"/>
      <c r="F58" s="80"/>
      <c r="G58" s="80"/>
      <c r="H58" s="80"/>
    </row>
    <row r="59" spans="1:13" ht="23.1" customHeight="1" thickTop="1" x14ac:dyDescent="0.25">
      <c r="A59" s="8"/>
      <c r="B59" s="125" t="s">
        <v>103</v>
      </c>
      <c r="C59" s="122"/>
      <c r="D59" s="122"/>
      <c r="E59" s="122"/>
      <c r="F59" s="122"/>
      <c r="G59" s="122"/>
      <c r="H59" s="122"/>
      <c r="J59" s="196"/>
      <c r="K59" s="196"/>
      <c r="L59" s="196"/>
      <c r="M59" s="196"/>
    </row>
    <row r="60" spans="1:13" ht="15.95" customHeight="1" x14ac:dyDescent="0.25">
      <c r="A60" s="5">
        <v>3</v>
      </c>
      <c r="B60" s="16" t="s">
        <v>104</v>
      </c>
      <c r="C60" t="s">
        <v>544</v>
      </c>
      <c r="D60" t="s">
        <v>546</v>
      </c>
      <c r="E60" t="s">
        <v>535</v>
      </c>
      <c r="F60" s="13"/>
      <c r="G60" t="b">
        <v>1</v>
      </c>
      <c r="H60" s="13"/>
      <c r="J60" s="197"/>
      <c r="K60" s="197"/>
      <c r="L60" s="197"/>
      <c r="M60" t="b">
        <v>0</v>
      </c>
    </row>
    <row r="61" spans="1:13" ht="15.95" customHeight="1" x14ac:dyDescent="0.25">
      <c r="A61" s="5">
        <v>3</v>
      </c>
      <c r="B61" s="16" t="s">
        <v>104</v>
      </c>
      <c r="C61" t="s">
        <v>547</v>
      </c>
      <c r="D61" t="s">
        <v>549</v>
      </c>
      <c r="E61" t="s">
        <v>535</v>
      </c>
      <c r="F61" s="13"/>
      <c r="G61" t="b">
        <v>1</v>
      </c>
      <c r="H61" s="13"/>
    </row>
    <row r="62" spans="1:13" ht="15.95" customHeight="1" x14ac:dyDescent="0.25">
      <c r="A62" s="5">
        <v>3</v>
      </c>
      <c r="B62" s="16" t="s">
        <v>105</v>
      </c>
      <c r="C62" t="s">
        <v>550</v>
      </c>
      <c r="E62" t="s">
        <v>539</v>
      </c>
      <c r="F62" s="13"/>
      <c r="G62" t="b">
        <v>1</v>
      </c>
      <c r="H62" s="13"/>
    </row>
    <row r="63" spans="1:13" ht="15.95" customHeight="1" x14ac:dyDescent="0.25">
      <c r="A63" s="5">
        <v>1</v>
      </c>
      <c r="B63" s="16" t="s">
        <v>104</v>
      </c>
      <c r="E63" s="162"/>
      <c r="F63" s="13"/>
      <c r="G63" t="b">
        <v>0</v>
      </c>
      <c r="H63" s="14"/>
    </row>
    <row r="64" spans="1:13" ht="12" customHeight="1" thickBot="1" x14ac:dyDescent="0.3">
      <c r="A64" s="12">
        <f>SUMIF(G60:G63,"TRUE", A60:A63)</f>
        <v>9</v>
      </c>
      <c r="B64" s="184" t="s">
        <v>512</v>
      </c>
      <c r="C64" s="80"/>
      <c r="D64" s="80"/>
      <c r="E64" s="80"/>
      <c r="F64" s="80"/>
      <c r="G64" s="80"/>
      <c r="H64" s="80"/>
    </row>
    <row r="65" spans="2:10" ht="12" customHeight="1" thickTop="1" x14ac:dyDescent="0.25">
      <c r="B65" s="83"/>
      <c r="C65" s="84"/>
      <c r="D65" s="84"/>
      <c r="E65" s="87"/>
      <c r="F65" s="83" t="s">
        <v>106</v>
      </c>
      <c r="G65" s="22"/>
      <c r="H65" s="23">
        <f>A26+A42+A48+A58+A64</f>
        <v>28</v>
      </c>
    </row>
    <row r="66" spans="2:10" ht="12" customHeight="1" x14ac:dyDescent="0.25">
      <c r="B66" s="83"/>
      <c r="C66" s="84"/>
      <c r="D66" s="84"/>
      <c r="E66" s="87"/>
      <c r="F66" s="83" t="s">
        <v>107</v>
      </c>
      <c r="G66" s="22"/>
      <c r="H66" s="23">
        <f>(124-H65)/15</f>
        <v>6.4</v>
      </c>
    </row>
    <row r="67" spans="2:10" ht="12" customHeight="1" x14ac:dyDescent="0.25">
      <c r="B67" s="178"/>
      <c r="C67" s="179"/>
      <c r="D67" s="179"/>
      <c r="F67" s="178"/>
      <c r="G67" s="180">
        <v>54</v>
      </c>
      <c r="H67" s="181"/>
      <c r="I67" t="str">
        <f>IF(H67&lt;&gt;"",IF(H67&gt;=90,"MEETS CREDIT HOUR REQUIREMENT FOR FAST TRACK",IF(H67=0,"","")),"")</f>
        <v/>
      </c>
    </row>
    <row r="68" spans="2:10" ht="12" customHeight="1" x14ac:dyDescent="0.25">
      <c r="B68" s="182"/>
      <c r="C68" s="179"/>
      <c r="D68" s="179"/>
      <c r="F68" s="182"/>
      <c r="G68" s="22"/>
      <c r="H68" s="183"/>
      <c r="I68" s="15"/>
      <c r="J68" s="15"/>
    </row>
    <row r="70" spans="2:10" x14ac:dyDescent="0.25">
      <c r="C70" t="s">
        <v>97</v>
      </c>
      <c r="E70" t="s">
        <v>539</v>
      </c>
      <c r="H70" t="s">
        <v>556</v>
      </c>
    </row>
    <row r="71" spans="2:10" x14ac:dyDescent="0.25">
      <c r="C71" t="s">
        <v>544</v>
      </c>
      <c r="D71" t="s">
        <v>546</v>
      </c>
      <c r="E71" t="s">
        <v>535</v>
      </c>
      <c r="H71" t="s">
        <v>556</v>
      </c>
    </row>
    <row r="72" spans="2:10" x14ac:dyDescent="0.25">
      <c r="C72" t="s">
        <v>547</v>
      </c>
      <c r="D72" t="s">
        <v>549</v>
      </c>
      <c r="E72" t="s">
        <v>535</v>
      </c>
      <c r="H72" t="s">
        <v>556</v>
      </c>
    </row>
    <row r="73" spans="2:10" x14ac:dyDescent="0.25">
      <c r="C73" t="s">
        <v>550</v>
      </c>
      <c r="E73" t="s">
        <v>539</v>
      </c>
      <c r="H73" t="s">
        <v>556</v>
      </c>
    </row>
    <row r="74" spans="2:10" x14ac:dyDescent="0.25">
      <c r="C74" t="s">
        <v>95</v>
      </c>
      <c r="D74" t="s">
        <v>536</v>
      </c>
      <c r="E74" t="s">
        <v>535</v>
      </c>
      <c r="H74" t="s">
        <v>556</v>
      </c>
    </row>
  </sheetData>
  <mergeCells count="7">
    <mergeCell ref="A2:H2"/>
    <mergeCell ref="J59:M59"/>
    <mergeCell ref="J60:L60"/>
    <mergeCell ref="F3:H3"/>
    <mergeCell ref="B20:B21"/>
    <mergeCell ref="B11:B12"/>
    <mergeCell ref="B14:B15"/>
  </mergeCells>
  <conditionalFormatting sqref="C7">
    <cfRule type="expression" dxfId="145" priority="26">
      <formula>$G$7</formula>
    </cfRule>
  </conditionalFormatting>
  <conditionalFormatting sqref="C8">
    <cfRule type="expression" dxfId="144" priority="193">
      <formula>$G$8</formula>
    </cfRule>
  </conditionalFormatting>
  <conditionalFormatting sqref="C13">
    <cfRule type="expression" dxfId="143" priority="73">
      <formula>$G$13</formula>
    </cfRule>
  </conditionalFormatting>
  <conditionalFormatting sqref="C16">
    <cfRule type="expression" dxfId="142" priority="71">
      <formula>$G$16</formula>
    </cfRule>
  </conditionalFormatting>
  <conditionalFormatting sqref="C19">
    <cfRule type="expression" dxfId="141" priority="51">
      <formula>$G$19</formula>
    </cfRule>
  </conditionalFormatting>
  <conditionalFormatting sqref="C22">
    <cfRule type="expression" dxfId="140" priority="60">
      <formula>$G$22</formula>
    </cfRule>
  </conditionalFormatting>
  <conditionalFormatting sqref="C14">
    <cfRule type="expression" dxfId="139" priority="53">
      <formula>$G$14</formula>
    </cfRule>
  </conditionalFormatting>
  <conditionalFormatting sqref="C25">
    <cfRule type="expression" dxfId="138" priority="185">
      <formula>$G$25</formula>
    </cfRule>
  </conditionalFormatting>
  <conditionalFormatting sqref="C18">
    <cfRule type="expression" dxfId="137" priority="183">
      <formula>$G$18</formula>
    </cfRule>
  </conditionalFormatting>
  <conditionalFormatting sqref="C23">
    <cfRule type="expression" dxfId="136" priority="148">
      <formula>$G$23</formula>
    </cfRule>
  </conditionalFormatting>
  <conditionalFormatting sqref="C24">
    <cfRule type="expression" dxfId="135" priority="181">
      <formula>$G$24</formula>
    </cfRule>
  </conditionalFormatting>
  <conditionalFormatting sqref="G19">
    <cfRule type="expression" dxfId="134" priority="142">
      <formula>#REF!</formula>
    </cfRule>
  </conditionalFormatting>
  <conditionalFormatting sqref="C28">
    <cfRule type="expression" dxfId="133" priority="178">
      <formula>$G$28</formula>
    </cfRule>
  </conditionalFormatting>
  <conditionalFormatting sqref="C29">
    <cfRule type="expression" dxfId="132" priority="177">
      <formula>$G$29</formula>
    </cfRule>
  </conditionalFormatting>
  <conditionalFormatting sqref="C30">
    <cfRule type="expression" dxfId="131" priority="175">
      <formula>$G$30</formula>
    </cfRule>
  </conditionalFormatting>
  <conditionalFormatting sqref="C33">
    <cfRule type="expression" dxfId="130" priority="174">
      <formula>$G$33</formula>
    </cfRule>
  </conditionalFormatting>
  <conditionalFormatting sqref="C34">
    <cfRule type="expression" dxfId="129" priority="173">
      <formula>$G$34</formula>
    </cfRule>
  </conditionalFormatting>
  <conditionalFormatting sqref="C35">
    <cfRule type="expression" dxfId="128" priority="172">
      <formula>$G$35</formula>
    </cfRule>
  </conditionalFormatting>
  <conditionalFormatting sqref="C37">
    <cfRule type="expression" dxfId="127" priority="170">
      <formula>$G$37</formula>
    </cfRule>
  </conditionalFormatting>
  <conditionalFormatting sqref="C38">
    <cfRule type="expression" dxfId="126" priority="169">
      <formula>$G$38</formula>
    </cfRule>
  </conditionalFormatting>
  <conditionalFormatting sqref="C39">
    <cfRule type="expression" dxfId="125" priority="168">
      <formula>$G$39</formula>
    </cfRule>
  </conditionalFormatting>
  <conditionalFormatting sqref="C41">
    <cfRule type="expression" dxfId="124" priority="167">
      <formula>$G$41</formula>
    </cfRule>
  </conditionalFormatting>
  <conditionalFormatting sqref="C44">
    <cfRule type="expression" dxfId="123" priority="166">
      <formula>$G$44</formula>
    </cfRule>
  </conditionalFormatting>
  <conditionalFormatting sqref="C31">
    <cfRule type="expression" dxfId="122" priority="42">
      <formula>$G$31</formula>
    </cfRule>
  </conditionalFormatting>
  <conditionalFormatting sqref="C52">
    <cfRule type="expression" dxfId="119" priority="160">
      <formula>$G$52</formula>
    </cfRule>
  </conditionalFormatting>
  <conditionalFormatting sqref="C53">
    <cfRule type="expression" dxfId="118" priority="159">
      <formula>$G$53</formula>
    </cfRule>
  </conditionalFormatting>
  <conditionalFormatting sqref="C54">
    <cfRule type="expression" dxfId="117" priority="158">
      <formula>$G$54</formula>
    </cfRule>
  </conditionalFormatting>
  <conditionalFormatting sqref="C55">
    <cfRule type="expression" dxfId="116" priority="157">
      <formula>$G$55</formula>
    </cfRule>
  </conditionalFormatting>
  <conditionalFormatting sqref="C56">
    <cfRule type="expression" dxfId="115" priority="156">
      <formula>$G$56</formula>
    </cfRule>
  </conditionalFormatting>
  <conditionalFormatting sqref="C57">
    <cfRule type="expression" dxfId="114" priority="155">
      <formula>$G$57</formula>
    </cfRule>
  </conditionalFormatting>
  <conditionalFormatting sqref="C21">
    <cfRule type="expression" dxfId="113" priority="63">
      <formula>$G$21</formula>
    </cfRule>
  </conditionalFormatting>
  <conditionalFormatting sqref="C11">
    <cfRule type="expression" dxfId="112" priority="56">
      <formula>$G$11</formula>
    </cfRule>
  </conditionalFormatting>
  <conditionalFormatting sqref="C17">
    <cfRule type="expression" dxfId="111" priority="146">
      <formula>$G$17</formula>
    </cfRule>
  </conditionalFormatting>
  <conditionalFormatting sqref="C32">
    <cfRule type="expression" dxfId="110" priority="41">
      <formula>$G$32</formula>
    </cfRule>
  </conditionalFormatting>
  <conditionalFormatting sqref="C36">
    <cfRule type="expression" dxfId="109" priority="30">
      <formula>$G$36</formula>
    </cfRule>
  </conditionalFormatting>
  <conditionalFormatting sqref="C20">
    <cfRule type="expression" dxfId="108" priority="20">
      <formula>$G$20</formula>
    </cfRule>
  </conditionalFormatting>
  <conditionalFormatting sqref="C12">
    <cfRule type="expression" dxfId="107" priority="17">
      <formula>$G$12</formula>
    </cfRule>
  </conditionalFormatting>
  <conditionalFormatting sqref="C15">
    <cfRule type="expression" dxfId="106" priority="16">
      <formula>$G$15</formula>
    </cfRule>
  </conditionalFormatting>
  <conditionalFormatting sqref="C45">
    <cfRule type="expression" dxfId="105" priority="5">
      <formula>$G$45</formula>
    </cfRule>
  </conditionalFormatting>
  <conditionalFormatting sqref="C46">
    <cfRule type="expression" dxfId="104" priority="4">
      <formula>$G$46</formula>
    </cfRule>
  </conditionalFormatting>
  <conditionalFormatting sqref="C47">
    <cfRule type="expression" dxfId="103" priority="3">
      <formula>$G$47</formula>
    </cfRule>
  </conditionalFormatting>
  <conditionalFormatting sqref="D52:H57 F50:H51">
    <cfRule type="expression" dxfId="102" priority="2">
      <formula>$M$60=TRUE</formula>
    </cfRule>
  </conditionalFormatting>
  <conditionalFormatting sqref="I67">
    <cfRule type="expression" dxfId="101" priority="1">
      <formula>$H$67&gt;=90</formula>
    </cfRule>
  </conditionalFormatting>
  <conditionalFormatting sqref="C40">
    <cfRule type="expression" dxfId="100" priority="358">
      <formula>$G$40</formula>
    </cfRule>
  </conditionalFormatting>
  <hyperlinks>
    <hyperlink ref="A6" r:id="rId1" display="LD" xr:uid="{08305CFE-5C79-4475-82CC-349A11895A0C}"/>
    <hyperlink ref="A49" r:id="rId2" display="LD" xr:uid="{739B05B1-A582-4592-A7F5-06917B41E45C}"/>
  </hyperlinks>
  <printOptions horizontalCentered="1" verticalCentered="1"/>
  <pageMargins left="0.25" right="0.25" top="0.25" bottom="0.25" header="0.3" footer="0.3"/>
  <pageSetup scale="6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6" name="Check Box 1">
              <controlPr defaultSize="0" autoFill="0" autoLine="0" autoPict="0">
                <anchor moveWithCells="1">
                  <from>
                    <xdr:col>5</xdr:col>
                    <xdr:colOff>76200</xdr:colOff>
                    <xdr:row>5</xdr:row>
                    <xdr:rowOff>276225</xdr:rowOff>
                  </from>
                  <to>
                    <xdr:col>7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7" name="Check Box 2">
              <controlPr defaultSize="0" autoFill="0" autoLine="0" autoPict="0">
                <anchor moveWithCells="1">
                  <from>
                    <xdr:col>5</xdr:col>
                    <xdr:colOff>76200</xdr:colOff>
                    <xdr:row>7</xdr:row>
                    <xdr:rowOff>0</xdr:rowOff>
                  </from>
                  <to>
                    <xdr:col>7</xdr:col>
                    <xdr:colOff>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8" name="Check Box 3">
              <controlPr defaultSize="0" autoFill="0" autoLine="0" autoPict="0">
                <anchor moveWithCells="1">
                  <from>
                    <xdr:col>5</xdr:col>
                    <xdr:colOff>66675</xdr:colOff>
                    <xdr:row>11</xdr:row>
                    <xdr:rowOff>180975</xdr:rowOff>
                  </from>
                  <to>
                    <xdr:col>5</xdr:col>
                    <xdr:colOff>371475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9" name="Check Box 4">
              <controlPr defaultSize="0" autoFill="0" autoLine="0" autoPict="0">
                <anchor moveWithCells="1">
                  <from>
                    <xdr:col>5</xdr:col>
                    <xdr:colOff>66675</xdr:colOff>
                    <xdr:row>14</xdr:row>
                    <xdr:rowOff>190500</xdr:rowOff>
                  </from>
                  <to>
                    <xdr:col>5</xdr:col>
                    <xdr:colOff>371475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10" name="Check Box 5">
              <controlPr defaultSize="0" autoFill="0" autoLine="0" autoPict="0">
                <anchor moveWithCells="1">
                  <from>
                    <xdr:col>5</xdr:col>
                    <xdr:colOff>76200</xdr:colOff>
                    <xdr:row>17</xdr:row>
                    <xdr:rowOff>190500</xdr:rowOff>
                  </from>
                  <to>
                    <xdr:col>6</xdr:col>
                    <xdr:colOff>9525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11" name="Check Box 6">
              <controlPr defaultSize="0" autoFill="0" autoLine="0" autoPict="0">
                <anchor moveWithCells="1">
                  <from>
                    <xdr:col>5</xdr:col>
                    <xdr:colOff>76200</xdr:colOff>
                    <xdr:row>18</xdr:row>
                    <xdr:rowOff>180975</xdr:rowOff>
                  </from>
                  <to>
                    <xdr:col>6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12" name="Check Box 7">
              <controlPr defaultSize="0" autoFill="0" autoLine="0" autoPict="0">
                <anchor moveWithCells="1">
                  <from>
                    <xdr:col>5</xdr:col>
                    <xdr:colOff>66675</xdr:colOff>
                    <xdr:row>20</xdr:row>
                    <xdr:rowOff>171450</xdr:rowOff>
                  </from>
                  <to>
                    <xdr:col>5</xdr:col>
                    <xdr:colOff>371475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13" name="Check Box 8">
              <controlPr defaultSize="0" autoFill="0" autoLine="0" autoPict="0">
                <anchor moveWithCells="1">
                  <from>
                    <xdr:col>5</xdr:col>
                    <xdr:colOff>66675</xdr:colOff>
                    <xdr:row>9</xdr:row>
                    <xdr:rowOff>266700</xdr:rowOff>
                  </from>
                  <to>
                    <xdr:col>5</xdr:col>
                    <xdr:colOff>371475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1" r:id="rId14" name="Check Box 9">
              <controlPr defaultSize="0" autoFill="0" autoLine="0" autoPict="0">
                <anchor moveWithCells="1">
                  <from>
                    <xdr:col>5</xdr:col>
                    <xdr:colOff>66675</xdr:colOff>
                    <xdr:row>10</xdr:row>
                    <xdr:rowOff>161925</xdr:rowOff>
                  </from>
                  <to>
                    <xdr:col>5</xdr:col>
                    <xdr:colOff>371475</xdr:colOff>
                    <xdr:row>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2" r:id="rId15" name="Check Box 10">
              <controlPr defaultSize="0" autoFill="0" autoLine="0" autoPict="0">
                <anchor moveWithCells="1">
                  <from>
                    <xdr:col>5</xdr:col>
                    <xdr:colOff>66675</xdr:colOff>
                    <xdr:row>23</xdr:row>
                    <xdr:rowOff>200025</xdr:rowOff>
                  </from>
                  <to>
                    <xdr:col>5</xdr:col>
                    <xdr:colOff>371475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3" r:id="rId16" name="Check Box 11">
              <controlPr defaultSize="0" autoFill="0" autoLine="0" autoPict="0">
                <anchor moveWithCells="1">
                  <from>
                    <xdr:col>5</xdr:col>
                    <xdr:colOff>66675</xdr:colOff>
                    <xdr:row>15</xdr:row>
                    <xdr:rowOff>180975</xdr:rowOff>
                  </from>
                  <to>
                    <xdr:col>5</xdr:col>
                    <xdr:colOff>371475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4" r:id="rId17" name="Check Box 12">
              <controlPr defaultSize="0" autoFill="0" autoLine="0" autoPict="0">
                <anchor moveWithCells="1">
                  <from>
                    <xdr:col>5</xdr:col>
                    <xdr:colOff>76200</xdr:colOff>
                    <xdr:row>16</xdr:row>
                    <xdr:rowOff>180975</xdr:rowOff>
                  </from>
                  <to>
                    <xdr:col>6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5" r:id="rId18" name="Check Box 13">
              <controlPr defaultSize="0" autoFill="0" autoLine="0" autoPict="0">
                <anchor moveWithCells="1">
                  <from>
                    <xdr:col>5</xdr:col>
                    <xdr:colOff>66675</xdr:colOff>
                    <xdr:row>21</xdr:row>
                    <xdr:rowOff>180975</xdr:rowOff>
                  </from>
                  <to>
                    <xdr:col>5</xdr:col>
                    <xdr:colOff>371475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6" r:id="rId19" name="Check Box 14">
              <controlPr defaultSize="0" autoFill="0" autoLine="0" autoPict="0">
                <anchor moveWithCells="1">
                  <from>
                    <xdr:col>5</xdr:col>
                    <xdr:colOff>66675</xdr:colOff>
                    <xdr:row>22</xdr:row>
                    <xdr:rowOff>190500</xdr:rowOff>
                  </from>
                  <to>
                    <xdr:col>5</xdr:col>
                    <xdr:colOff>371475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8" r:id="rId20" name="Check Box 16">
              <controlPr defaultSize="0" autoFill="0" autoLine="0" autoPict="0">
                <anchor moveWithCells="1">
                  <from>
                    <xdr:col>5</xdr:col>
                    <xdr:colOff>66675</xdr:colOff>
                    <xdr:row>27</xdr:row>
                    <xdr:rowOff>0</xdr:rowOff>
                  </from>
                  <to>
                    <xdr:col>5</xdr:col>
                    <xdr:colOff>333375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9" r:id="rId21" name="Check Box 17">
              <controlPr defaultSize="0" autoFill="0" autoLine="0" autoPict="0">
                <anchor moveWithCells="1">
                  <from>
                    <xdr:col>5</xdr:col>
                    <xdr:colOff>66675</xdr:colOff>
                    <xdr:row>28</xdr:row>
                    <xdr:rowOff>0</xdr:rowOff>
                  </from>
                  <to>
                    <xdr:col>5</xdr:col>
                    <xdr:colOff>314325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0" r:id="rId22" name="Check Box 18">
              <controlPr defaultSize="0" autoFill="0" autoLine="0" autoPict="0">
                <anchor moveWithCells="1">
                  <from>
                    <xdr:col>5</xdr:col>
                    <xdr:colOff>66675</xdr:colOff>
                    <xdr:row>31</xdr:row>
                    <xdr:rowOff>0</xdr:rowOff>
                  </from>
                  <to>
                    <xdr:col>5</xdr:col>
                    <xdr:colOff>342900</xdr:colOff>
                    <xdr:row>31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1" r:id="rId23" name="Check Box 19">
              <controlPr defaultSize="0" autoFill="0" autoLine="0" autoPict="0">
                <anchor moveWithCells="1">
                  <from>
                    <xdr:col>5</xdr:col>
                    <xdr:colOff>66675</xdr:colOff>
                    <xdr:row>29</xdr:row>
                    <xdr:rowOff>9525</xdr:rowOff>
                  </from>
                  <to>
                    <xdr:col>5</xdr:col>
                    <xdr:colOff>342900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2" r:id="rId24" name="Check Box 20">
              <controlPr defaultSize="0" autoFill="0" autoLine="0" autoPict="0">
                <anchor moveWithCells="1">
                  <from>
                    <xdr:col>5</xdr:col>
                    <xdr:colOff>66675</xdr:colOff>
                    <xdr:row>32</xdr:row>
                    <xdr:rowOff>0</xdr:rowOff>
                  </from>
                  <to>
                    <xdr:col>5</xdr:col>
                    <xdr:colOff>342900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3" r:id="rId25" name="Check Box 21">
              <controlPr defaultSize="0" autoFill="0" autoLine="0" autoPict="0">
                <anchor moveWithCells="1">
                  <from>
                    <xdr:col>5</xdr:col>
                    <xdr:colOff>66675</xdr:colOff>
                    <xdr:row>33</xdr:row>
                    <xdr:rowOff>190500</xdr:rowOff>
                  </from>
                  <to>
                    <xdr:col>5</xdr:col>
                    <xdr:colOff>333375</xdr:colOff>
                    <xdr:row>34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4" r:id="rId26" name="Check Box 22">
              <controlPr defaultSize="0" autoFill="0" autoLine="0" autoPict="0">
                <anchor moveWithCells="1">
                  <from>
                    <xdr:col>5</xdr:col>
                    <xdr:colOff>66675</xdr:colOff>
                    <xdr:row>39</xdr:row>
                    <xdr:rowOff>0</xdr:rowOff>
                  </from>
                  <to>
                    <xdr:col>5</xdr:col>
                    <xdr:colOff>333375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5" r:id="rId27" name="Check Box 23">
              <controlPr defaultSize="0" autoFill="0" autoLine="0" autoPict="0">
                <anchor moveWithCells="1">
                  <from>
                    <xdr:col>5</xdr:col>
                    <xdr:colOff>66675</xdr:colOff>
                    <xdr:row>36</xdr:row>
                    <xdr:rowOff>0</xdr:rowOff>
                  </from>
                  <to>
                    <xdr:col>5</xdr:col>
                    <xdr:colOff>285750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6" r:id="rId28" name="Check Box 24">
              <controlPr defaultSize="0" autoFill="0" autoLine="0" autoPict="0">
                <anchor moveWithCells="1">
                  <from>
                    <xdr:col>5</xdr:col>
                    <xdr:colOff>66675</xdr:colOff>
                    <xdr:row>38</xdr:row>
                    <xdr:rowOff>0</xdr:rowOff>
                  </from>
                  <to>
                    <xdr:col>5</xdr:col>
                    <xdr:colOff>304800</xdr:colOff>
                    <xdr:row>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7" r:id="rId29" name="Check Box 25">
              <controlPr defaultSize="0" autoFill="0" autoLine="0" autoPict="0">
                <anchor moveWithCells="1">
                  <from>
                    <xdr:col>5</xdr:col>
                    <xdr:colOff>66675</xdr:colOff>
                    <xdr:row>39</xdr:row>
                    <xdr:rowOff>180975</xdr:rowOff>
                  </from>
                  <to>
                    <xdr:col>5</xdr:col>
                    <xdr:colOff>295275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8" r:id="rId30" name="Check Box 26">
              <controlPr defaultSize="0" autoFill="0" autoLine="0" autoPict="0" altText="">
                <anchor moveWithCells="1">
                  <from>
                    <xdr:col>5</xdr:col>
                    <xdr:colOff>66675</xdr:colOff>
                    <xdr:row>30</xdr:row>
                    <xdr:rowOff>9525</xdr:rowOff>
                  </from>
                  <to>
                    <xdr:col>5</xdr:col>
                    <xdr:colOff>285750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9" r:id="rId31" name="Check Box 27">
              <controlPr defaultSize="0" autoFill="0" autoLine="0" autoPict="0">
                <anchor moveWithCells="1">
                  <from>
                    <xdr:col>5</xdr:col>
                    <xdr:colOff>76200</xdr:colOff>
                    <xdr:row>43</xdr:row>
                    <xdr:rowOff>161925</xdr:rowOff>
                  </from>
                  <to>
                    <xdr:col>6</xdr:col>
                    <xdr:colOff>0</xdr:colOff>
                    <xdr:row>45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0" r:id="rId32" name="Check Box 28">
              <controlPr defaultSize="0" autoFill="0" autoLine="0" autoPict="0">
                <anchor moveWithCells="1">
                  <from>
                    <xdr:col>5</xdr:col>
                    <xdr:colOff>76200</xdr:colOff>
                    <xdr:row>45</xdr:row>
                    <xdr:rowOff>0</xdr:rowOff>
                  </from>
                  <to>
                    <xdr:col>5</xdr:col>
                    <xdr:colOff>295275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1" r:id="rId33" name="Check Box 29">
              <controlPr defaultSize="0" autoFill="0" autoLine="0" autoPict="0">
                <anchor moveWithCells="1">
                  <from>
                    <xdr:col>5</xdr:col>
                    <xdr:colOff>76200</xdr:colOff>
                    <xdr:row>42</xdr:row>
                    <xdr:rowOff>238125</xdr:rowOff>
                  </from>
                  <to>
                    <xdr:col>5</xdr:col>
                    <xdr:colOff>361950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2" r:id="rId34" name="Check Box 30">
              <controlPr defaultSize="0" autoFill="0" autoLine="0" autoPict="0">
                <anchor moveWithCells="1">
                  <from>
                    <xdr:col>5</xdr:col>
                    <xdr:colOff>66675</xdr:colOff>
                    <xdr:row>32</xdr:row>
                    <xdr:rowOff>180975</xdr:rowOff>
                  </from>
                  <to>
                    <xdr:col>5</xdr:col>
                    <xdr:colOff>323850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3" r:id="rId35" name="Check Box 31">
              <controlPr defaultSize="0" autoFill="0" autoLine="0" autoPict="0">
                <anchor moveWithCells="1">
                  <from>
                    <xdr:col>5</xdr:col>
                    <xdr:colOff>66675</xdr:colOff>
                    <xdr:row>37</xdr:row>
                    <xdr:rowOff>0</xdr:rowOff>
                  </from>
                  <to>
                    <xdr:col>5</xdr:col>
                    <xdr:colOff>323850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4" r:id="rId36" name="Check Box 32">
              <controlPr defaultSize="0" autoFill="0" autoLine="0" autoPict="0">
                <anchor moveWithCells="1">
                  <from>
                    <xdr:col>5</xdr:col>
                    <xdr:colOff>66675</xdr:colOff>
                    <xdr:row>35</xdr:row>
                    <xdr:rowOff>0</xdr:rowOff>
                  </from>
                  <to>
                    <xdr:col>5</xdr:col>
                    <xdr:colOff>342900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5" r:id="rId37" name="Check Box 33">
              <controlPr defaultSize="0" autoFill="0" autoLine="0" autoPict="0">
                <anchor moveWithCells="1">
                  <from>
                    <xdr:col>5</xdr:col>
                    <xdr:colOff>57150</xdr:colOff>
                    <xdr:row>48</xdr:row>
                    <xdr:rowOff>266700</xdr:rowOff>
                  </from>
                  <to>
                    <xdr:col>5</xdr:col>
                    <xdr:colOff>342900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6" r:id="rId38" name="Check Box 34">
              <controlPr defaultSize="0" autoFill="0" autoLine="0" autoPict="0">
                <anchor moveWithCells="1">
                  <from>
                    <xdr:col>5</xdr:col>
                    <xdr:colOff>57150</xdr:colOff>
                    <xdr:row>49</xdr:row>
                    <xdr:rowOff>142875</xdr:rowOff>
                  </from>
                  <to>
                    <xdr:col>6</xdr:col>
                    <xdr:colOff>0</xdr:colOff>
                    <xdr:row>51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7" r:id="rId39" name="Check Box 35">
              <controlPr defaultSize="0" autoFill="0" autoLine="0" autoPict="0">
                <anchor moveWithCells="1">
                  <from>
                    <xdr:col>5</xdr:col>
                    <xdr:colOff>57150</xdr:colOff>
                    <xdr:row>51</xdr:row>
                    <xdr:rowOff>0</xdr:rowOff>
                  </from>
                  <to>
                    <xdr:col>5</xdr:col>
                    <xdr:colOff>342900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8" r:id="rId40" name="Check Box 36">
              <controlPr defaultSize="0" autoFill="0" autoLine="0" autoPict="0">
                <anchor moveWithCells="1">
                  <from>
                    <xdr:col>5</xdr:col>
                    <xdr:colOff>57150</xdr:colOff>
                    <xdr:row>52</xdr:row>
                    <xdr:rowOff>0</xdr:rowOff>
                  </from>
                  <to>
                    <xdr:col>5</xdr:col>
                    <xdr:colOff>361950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9" r:id="rId41" name="Check Box 37">
              <controlPr defaultSize="0" autoFill="0" autoLine="0" autoPict="0">
                <anchor moveWithCells="1">
                  <from>
                    <xdr:col>5</xdr:col>
                    <xdr:colOff>57150</xdr:colOff>
                    <xdr:row>53</xdr:row>
                    <xdr:rowOff>0</xdr:rowOff>
                  </from>
                  <to>
                    <xdr:col>6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0" r:id="rId42" name="Check Box 38">
              <controlPr defaultSize="0" autoFill="0" autoLine="0" autoPict="0">
                <anchor moveWithCells="1">
                  <from>
                    <xdr:col>5</xdr:col>
                    <xdr:colOff>57150</xdr:colOff>
                    <xdr:row>54</xdr:row>
                    <xdr:rowOff>0</xdr:rowOff>
                  </from>
                  <to>
                    <xdr:col>5</xdr:col>
                    <xdr:colOff>361950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1" r:id="rId43" name="Check Box 39">
              <controlPr defaultSize="0" autoFill="0" autoLine="0" autoPict="0">
                <anchor moveWithCells="1">
                  <from>
                    <xdr:col>5</xdr:col>
                    <xdr:colOff>57150</xdr:colOff>
                    <xdr:row>55</xdr:row>
                    <xdr:rowOff>0</xdr:rowOff>
                  </from>
                  <to>
                    <xdr:col>6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2" r:id="rId44" name="Check Box 40">
              <controlPr defaultSize="0" autoFill="0" autoLine="0" autoPict="0">
                <anchor moveWithCells="1">
                  <from>
                    <xdr:col>5</xdr:col>
                    <xdr:colOff>57150</xdr:colOff>
                    <xdr:row>55</xdr:row>
                    <xdr:rowOff>190500</xdr:rowOff>
                  </from>
                  <to>
                    <xdr:col>5</xdr:col>
                    <xdr:colOff>342900</xdr:colOff>
                    <xdr:row>57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3" r:id="rId45" name="Check Box 41">
              <controlPr defaultSize="0" autoFill="0" autoLine="0" autoPict="0">
                <anchor moveWithCells="1">
                  <from>
                    <xdr:col>5</xdr:col>
                    <xdr:colOff>66675</xdr:colOff>
                    <xdr:row>58</xdr:row>
                    <xdr:rowOff>247650</xdr:rowOff>
                  </from>
                  <to>
                    <xdr:col>5</xdr:col>
                    <xdr:colOff>342900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4" r:id="rId46" name="Check Box 42">
              <controlPr defaultSize="0" autoFill="0" autoLine="0" autoPict="0">
                <anchor moveWithCells="1">
                  <from>
                    <xdr:col>5</xdr:col>
                    <xdr:colOff>66675</xdr:colOff>
                    <xdr:row>59</xdr:row>
                    <xdr:rowOff>152400</xdr:rowOff>
                  </from>
                  <to>
                    <xdr:col>5</xdr:col>
                    <xdr:colOff>314325</xdr:colOff>
                    <xdr:row>61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5" r:id="rId47" name="Check Box 43">
              <controlPr defaultSize="0" autoFill="0" autoLine="0" autoPict="0">
                <anchor moveWithCells="1">
                  <from>
                    <xdr:col>5</xdr:col>
                    <xdr:colOff>66675</xdr:colOff>
                    <xdr:row>60</xdr:row>
                    <xdr:rowOff>171450</xdr:rowOff>
                  </from>
                  <to>
                    <xdr:col>5</xdr:col>
                    <xdr:colOff>342900</xdr:colOff>
                    <xdr:row>62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6" r:id="rId48" name="Check Box 44">
              <controlPr defaultSize="0" autoFill="0" autoLine="0" autoPict="0">
                <anchor moveWithCells="1">
                  <from>
                    <xdr:col>5</xdr:col>
                    <xdr:colOff>66675</xdr:colOff>
                    <xdr:row>61</xdr:row>
                    <xdr:rowOff>190500</xdr:rowOff>
                  </from>
                  <to>
                    <xdr:col>7</xdr:col>
                    <xdr:colOff>19050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9" r:id="rId49" name="Check Box 47">
              <controlPr defaultSize="0" autoFill="0" autoLine="0" autoPict="0">
                <anchor moveWithCells="1">
                  <from>
                    <xdr:col>7</xdr:col>
                    <xdr:colOff>1933575</xdr:colOff>
                    <xdr:row>9</xdr:row>
                    <xdr:rowOff>247650</xdr:rowOff>
                  </from>
                  <to>
                    <xdr:col>8</xdr:col>
                    <xdr:colOff>2533650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0" r:id="rId50" name="Check Box 48">
              <controlPr defaultSize="0" autoFill="0" autoLine="0" autoPict="0">
                <anchor moveWithCells="1">
                  <from>
                    <xdr:col>7</xdr:col>
                    <xdr:colOff>1933575</xdr:colOff>
                    <xdr:row>10</xdr:row>
                    <xdr:rowOff>133350</xdr:rowOff>
                  </from>
                  <to>
                    <xdr:col>8</xdr:col>
                    <xdr:colOff>2486025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2" r:id="rId51" name="Check Box 50">
              <controlPr defaultSize="0" autoFill="0" autoLine="0" autoPict="0">
                <anchor moveWithCells="1">
                  <from>
                    <xdr:col>5</xdr:col>
                    <xdr:colOff>66675</xdr:colOff>
                    <xdr:row>19</xdr:row>
                    <xdr:rowOff>190500</xdr:rowOff>
                  </from>
                  <to>
                    <xdr:col>5</xdr:col>
                    <xdr:colOff>371475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6" r:id="rId52" name="Check Box 54">
              <controlPr defaultSize="0" autoFill="0" autoLine="0" autoPict="0">
                <anchor moveWithCells="1">
                  <from>
                    <xdr:col>5</xdr:col>
                    <xdr:colOff>66675</xdr:colOff>
                    <xdr:row>13</xdr:row>
                    <xdr:rowOff>180975</xdr:rowOff>
                  </from>
                  <to>
                    <xdr:col>5</xdr:col>
                    <xdr:colOff>371475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7" r:id="rId53" name="Check Box 55">
              <controlPr defaultSize="0" autoFill="0" autoLine="0" autoPict="0">
                <anchor moveWithCells="1">
                  <from>
                    <xdr:col>5</xdr:col>
                    <xdr:colOff>66675</xdr:colOff>
                    <xdr:row>12</xdr:row>
                    <xdr:rowOff>180975</xdr:rowOff>
                  </from>
                  <to>
                    <xdr:col>6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5" r:id="rId54" name="Check Box 63">
              <controlPr defaultSize="0" autoFill="0" autoLine="0" autoPict="0">
                <anchor moveWithCells="1">
                  <from>
                    <xdr:col>5</xdr:col>
                    <xdr:colOff>76200</xdr:colOff>
                    <xdr:row>45</xdr:row>
                    <xdr:rowOff>0</xdr:rowOff>
                  </from>
                  <to>
                    <xdr:col>5</xdr:col>
                    <xdr:colOff>295275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6" r:id="rId55" name="Check Box 64">
              <controlPr defaultSize="0" autoFill="0" autoLine="0" autoPict="0">
                <anchor moveWithCells="1">
                  <from>
                    <xdr:col>5</xdr:col>
                    <xdr:colOff>76200</xdr:colOff>
                    <xdr:row>45</xdr:row>
                    <xdr:rowOff>0</xdr:rowOff>
                  </from>
                  <to>
                    <xdr:col>5</xdr:col>
                    <xdr:colOff>295275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7" r:id="rId56" name="Check Box 65">
              <controlPr defaultSize="0" autoFill="0" autoLine="0" autoPict="0">
                <anchor moveWithCells="1">
                  <from>
                    <xdr:col>5</xdr:col>
                    <xdr:colOff>76200</xdr:colOff>
                    <xdr:row>45</xdr:row>
                    <xdr:rowOff>0</xdr:rowOff>
                  </from>
                  <to>
                    <xdr:col>5</xdr:col>
                    <xdr:colOff>295275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9" r:id="rId57" name="Check Box 67">
              <controlPr defaultSize="0" autoFill="0" autoLine="0" autoPict="0">
                <anchor moveWithCells="1">
                  <from>
                    <xdr:col>5</xdr:col>
                    <xdr:colOff>76200</xdr:colOff>
                    <xdr:row>46</xdr:row>
                    <xdr:rowOff>0</xdr:rowOff>
                  </from>
                  <to>
                    <xdr:col>5</xdr:col>
                    <xdr:colOff>295275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0" r:id="rId58" name="Check Box 68">
              <controlPr defaultSize="0" autoFill="0" autoLine="0" autoPict="0">
                <anchor moveWithCells="1">
                  <from>
                    <xdr:col>8</xdr:col>
                    <xdr:colOff>47625</xdr:colOff>
                    <xdr:row>47</xdr:row>
                    <xdr:rowOff>9525</xdr:rowOff>
                  </from>
                  <to>
                    <xdr:col>8</xdr:col>
                    <xdr:colOff>2238375</xdr:colOff>
                    <xdr:row>49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C5727AA-D44D-4102-84A9-B03724E4EDB2}">
          <x14:formula1>
            <xm:f>Table!$E$1:$E$7</xm:f>
          </x14:formula1>
          <xm:sqref>C53</xm:sqref>
        </x14:dataValidation>
        <x14:dataValidation type="list" allowBlank="1" showInputMessage="1" showErrorMessage="1" xr:uid="{40AEC97D-E697-4EA8-BFBF-BC57B08BBAC2}">
          <x14:formula1>
            <xm:f>Table!$H$1:$H$15</xm:f>
          </x14:formula1>
          <xm:sqref>C57</xm:sqref>
        </x14:dataValidation>
        <x14:dataValidation type="list" allowBlank="1" showInputMessage="1" showErrorMessage="1" xr:uid="{5555FFA4-AA57-4891-B7BC-C2C974277DA4}">
          <x14:formula1>
            <xm:f>Table!$G$1:$G$11</xm:f>
          </x14:formula1>
          <xm:sqref>C56</xm:sqref>
        </x14:dataValidation>
        <x14:dataValidation type="list" allowBlank="1" showInputMessage="1" showErrorMessage="1" xr:uid="{9136AD1C-976E-4C5B-AF22-3AC371D6D4F8}">
          <x14:formula1>
            <xm:f>Table!$F$1:$F$8</xm:f>
          </x14:formula1>
          <xm:sqref>C55</xm:sqref>
        </x14:dataValidation>
        <x14:dataValidation type="list" allowBlank="1" showInputMessage="1" showErrorMessage="1" xr:uid="{DFFE0C4F-82A0-4957-B13F-E752B17C3D4F}">
          <x14:formula1>
            <xm:f>Table!$E$2:$E$7</xm:f>
          </x14:formula1>
          <xm:sqref>C54</xm:sqref>
        </x14:dataValidation>
        <x14:dataValidation type="list" allowBlank="1" showInputMessage="1" showErrorMessage="1" xr:uid="{FAD57381-6DBC-453E-9F1D-8C5CD9C56651}">
          <x14:formula1>
            <xm:f>'Technical Electives'!$B$3:$B$32</xm:f>
          </x14:formula1>
          <xm:sqref>C44:C47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D485E-F65C-4583-B344-19F26FC58720}">
  <sheetPr codeName="Sheet1">
    <pageSetUpPr fitToPage="1"/>
  </sheetPr>
  <dimension ref="A1:W103"/>
  <sheetViews>
    <sheetView showGridLines="0" topLeftCell="A5" zoomScale="86" zoomScaleNormal="86" workbookViewId="0">
      <selection activeCell="I40" sqref="I40"/>
    </sheetView>
  </sheetViews>
  <sheetFormatPr defaultColWidth="9.140625" defaultRowHeight="15" x14ac:dyDescent="0.25"/>
  <cols>
    <col min="1" max="1" width="10.28515625" style="39" customWidth="1"/>
    <col min="2" max="2" width="20.7109375" style="32" customWidth="1"/>
    <col min="3" max="3" width="4.7109375" style="33" customWidth="1"/>
    <col min="4" max="4" width="20.7109375" style="30" customWidth="1"/>
    <col min="5" max="5" width="4.7109375" style="30" customWidth="1"/>
    <col min="6" max="6" width="20.7109375" style="30" customWidth="1"/>
    <col min="7" max="7" width="4.7109375" style="30" customWidth="1"/>
    <col min="8" max="8" width="20.7109375" style="30" customWidth="1"/>
    <col min="9" max="9" width="4.7109375" style="30" customWidth="1"/>
    <col min="10" max="10" width="20.7109375" style="30" customWidth="1"/>
    <col min="11" max="11" width="4.7109375" style="30" customWidth="1"/>
    <col min="12" max="12" width="20.7109375" style="30" customWidth="1"/>
    <col min="13" max="13" width="4.7109375" style="30" customWidth="1"/>
    <col min="14" max="14" width="20.7109375" style="30" customWidth="1"/>
    <col min="15" max="16384" width="9.140625" style="30"/>
  </cols>
  <sheetData>
    <row r="1" spans="1:18" s="111" customFormat="1" ht="30" customHeight="1" x14ac:dyDescent="0.45">
      <c r="A1" s="110"/>
      <c r="B1" s="145" t="s">
        <v>519</v>
      </c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46"/>
      <c r="O1" s="27"/>
      <c r="P1" s="27"/>
      <c r="Q1" s="27"/>
      <c r="R1" s="27"/>
    </row>
    <row r="2" spans="1:18" s="148" customFormat="1" ht="16.5" thickBot="1" x14ac:dyDescent="0.3">
      <c r="A2" s="126"/>
      <c r="B2" s="127" t="s">
        <v>108</v>
      </c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47"/>
    </row>
    <row r="3" spans="1:18" s="42" customFormat="1" ht="18" customHeight="1" thickBot="1" x14ac:dyDescent="0.25">
      <c r="A3" s="38"/>
      <c r="B3" s="6"/>
      <c r="C3" s="6"/>
      <c r="F3" s="31" t="s">
        <v>4</v>
      </c>
      <c r="G3" s="6"/>
      <c r="H3" s="35" t="s">
        <v>50</v>
      </c>
      <c r="I3" s="6"/>
      <c r="J3" s="43" t="s">
        <v>109</v>
      </c>
      <c r="K3" s="6"/>
      <c r="L3" s="44" t="s">
        <v>110</v>
      </c>
      <c r="M3" s="6"/>
      <c r="N3" s="6"/>
    </row>
    <row r="4" spans="1:18" s="151" customFormat="1" ht="15.75" x14ac:dyDescent="0.25">
      <c r="A4" s="149"/>
      <c r="B4" s="144"/>
      <c r="C4" s="144"/>
      <c r="D4" s="144"/>
      <c r="E4" s="144"/>
      <c r="F4" s="144"/>
      <c r="G4" s="144"/>
      <c r="H4" s="150"/>
      <c r="I4" s="144"/>
      <c r="J4" s="130"/>
      <c r="K4" s="144"/>
      <c r="L4" s="144"/>
      <c r="M4" s="144"/>
      <c r="N4" s="144"/>
    </row>
    <row r="5" spans="1:18" s="151" customFormat="1" ht="16.5" thickBot="1" x14ac:dyDescent="0.3">
      <c r="A5" s="149"/>
      <c r="B5" s="144"/>
      <c r="C5" s="152" t="s">
        <v>1</v>
      </c>
      <c r="D5" s="203"/>
      <c r="E5" s="203"/>
      <c r="F5" s="203"/>
      <c r="G5" s="203"/>
      <c r="H5" s="152" t="s">
        <v>2</v>
      </c>
      <c r="I5" s="204"/>
      <c r="J5" s="205"/>
      <c r="K5" s="205"/>
      <c r="L5" s="205"/>
      <c r="M5" s="144"/>
      <c r="N5" s="144"/>
    </row>
    <row r="6" spans="1:18" s="129" customFormat="1" ht="16.5" thickBot="1" x14ac:dyDescent="0.3">
      <c r="A6" s="153"/>
      <c r="B6" s="202"/>
      <c r="C6" s="202"/>
      <c r="D6" s="202"/>
      <c r="E6" s="202"/>
      <c r="F6" s="202"/>
      <c r="G6" s="202"/>
      <c r="H6" s="202"/>
      <c r="I6" s="202"/>
      <c r="J6" s="202"/>
      <c r="K6" s="154"/>
    </row>
    <row r="7" spans="1:18" ht="80.099999999999994" customHeight="1" thickBot="1" x14ac:dyDescent="0.3">
      <c r="A7" s="206" t="s">
        <v>111</v>
      </c>
      <c r="B7" s="128" t="s">
        <v>112</v>
      </c>
      <c r="C7" s="129"/>
      <c r="D7" s="128" t="s">
        <v>113</v>
      </c>
      <c r="E7" s="130"/>
      <c r="F7" s="128" t="s">
        <v>114</v>
      </c>
      <c r="G7" s="129" t="s">
        <v>115</v>
      </c>
      <c r="H7" s="128" t="s">
        <v>116</v>
      </c>
      <c r="I7" s="130"/>
      <c r="J7" s="128" t="s">
        <v>117</v>
      </c>
      <c r="K7" s="129"/>
      <c r="L7" s="128" t="s">
        <v>118</v>
      </c>
      <c r="M7" s="129"/>
      <c r="N7" s="128" t="s">
        <v>118</v>
      </c>
    </row>
    <row r="8" spans="1:18" s="29" customFormat="1" ht="51.75" thickBot="1" x14ac:dyDescent="0.3">
      <c r="A8" s="207"/>
      <c r="B8" s="131" t="s">
        <v>119</v>
      </c>
      <c r="C8" s="99"/>
      <c r="D8" s="131" t="s">
        <v>119</v>
      </c>
      <c r="E8" s="99"/>
      <c r="F8" s="43" t="s">
        <v>120</v>
      </c>
      <c r="G8" s="99"/>
      <c r="H8" s="43" t="s">
        <v>121</v>
      </c>
      <c r="I8" s="99"/>
      <c r="J8" s="99"/>
      <c r="K8" s="99"/>
      <c r="L8" s="99"/>
      <c r="M8" s="99"/>
      <c r="N8" s="99"/>
    </row>
    <row r="9" spans="1:18" s="29" customFormat="1" ht="12.75" x14ac:dyDescent="0.2">
      <c r="A9" s="207"/>
      <c r="B9" s="132"/>
      <c r="C9" s="99"/>
      <c r="D9" s="99"/>
      <c r="E9" s="99"/>
      <c r="G9" s="99"/>
      <c r="H9" s="99"/>
      <c r="I9" s="99"/>
      <c r="J9" s="99"/>
      <c r="K9" s="99"/>
      <c r="L9" s="99"/>
      <c r="M9" s="99"/>
      <c r="N9" s="99"/>
    </row>
    <row r="10" spans="1:18" s="29" customFormat="1" ht="15.95" customHeight="1" x14ac:dyDescent="0.25">
      <c r="A10" s="207"/>
      <c r="B10" s="37"/>
      <c r="D10" s="37"/>
      <c r="F10" s="28"/>
    </row>
    <row r="11" spans="1:18" ht="15.95" customHeight="1" thickBot="1" x14ac:dyDescent="0.3">
      <c r="A11" s="207"/>
    </row>
    <row r="12" spans="1:18" ht="80.099999999999994" customHeight="1" thickBot="1" x14ac:dyDescent="0.3">
      <c r="A12" s="206" t="s">
        <v>122</v>
      </c>
      <c r="B12" s="128" t="s">
        <v>123</v>
      </c>
      <c r="C12" s="133"/>
      <c r="D12" s="128" t="s">
        <v>124</v>
      </c>
      <c r="E12" s="130"/>
      <c r="F12" s="128" t="s">
        <v>125</v>
      </c>
      <c r="G12" s="130" t="s">
        <v>115</v>
      </c>
      <c r="H12" s="128" t="s">
        <v>126</v>
      </c>
      <c r="J12" s="128" t="s">
        <v>127</v>
      </c>
      <c r="K12" s="130"/>
      <c r="L12" s="128" t="s">
        <v>128</v>
      </c>
      <c r="N12" s="128" t="s">
        <v>118</v>
      </c>
    </row>
    <row r="13" spans="1:18" ht="15.95" customHeight="1" thickBot="1" x14ac:dyDescent="0.3">
      <c r="A13" s="213"/>
      <c r="B13" s="44" t="s">
        <v>41</v>
      </c>
      <c r="C13" s="99"/>
      <c r="D13" s="139" t="s">
        <v>39</v>
      </c>
      <c r="E13" s="99"/>
      <c r="F13" s="43" t="s">
        <v>34</v>
      </c>
      <c r="G13" s="99"/>
      <c r="H13" s="43" t="s">
        <v>36</v>
      </c>
      <c r="J13" s="43" t="s">
        <v>39</v>
      </c>
      <c r="K13" s="99"/>
      <c r="L13" s="43" t="s">
        <v>21</v>
      </c>
      <c r="M13" s="36"/>
      <c r="N13" s="36"/>
    </row>
    <row r="14" spans="1:18" ht="15.95" customHeight="1" thickBot="1" x14ac:dyDescent="0.3">
      <c r="A14" s="213"/>
      <c r="C14" s="142"/>
      <c r="D14" s="143" t="s">
        <v>129</v>
      </c>
      <c r="E14" s="157"/>
      <c r="F14" s="158"/>
      <c r="G14" s="99"/>
      <c r="H14" s="99"/>
      <c r="J14" s="99"/>
      <c r="K14" s="99"/>
      <c r="L14" s="99"/>
      <c r="M14" s="36"/>
      <c r="N14" s="36"/>
    </row>
    <row r="15" spans="1:18" ht="15.95" customHeight="1" thickBot="1" x14ac:dyDescent="0.3">
      <c r="A15" s="213"/>
      <c r="C15" s="32"/>
      <c r="D15" s="141" t="s">
        <v>42</v>
      </c>
      <c r="E15" s="36"/>
      <c r="F15" s="36"/>
      <c r="G15" s="36"/>
      <c r="H15" s="36"/>
      <c r="I15" s="36"/>
      <c r="J15" s="36"/>
      <c r="K15" s="36"/>
      <c r="L15" s="36"/>
      <c r="M15" s="36"/>
      <c r="N15" s="36"/>
    </row>
    <row r="16" spans="1:18" ht="15.95" customHeight="1" thickBot="1" x14ac:dyDescent="0.3">
      <c r="A16" s="214"/>
      <c r="B16" s="109"/>
      <c r="C16" s="109"/>
      <c r="D16" s="109"/>
      <c r="E16" s="109"/>
      <c r="F16" s="109"/>
      <c r="G16" s="109"/>
      <c r="H16" s="109"/>
      <c r="I16" s="109"/>
      <c r="J16" s="109"/>
      <c r="K16" s="109"/>
      <c r="L16" s="109"/>
      <c r="M16" s="109"/>
      <c r="N16" s="109"/>
    </row>
    <row r="17" spans="1:23" ht="15.95" customHeight="1" thickBot="1" x14ac:dyDescent="0.3">
      <c r="A17" s="215" t="s">
        <v>130</v>
      </c>
      <c r="D17" s="108"/>
    </row>
    <row r="18" spans="1:23" ht="80.099999999999994" customHeight="1" thickBot="1" x14ac:dyDescent="0.3">
      <c r="A18" s="206"/>
      <c r="B18" s="134" t="s">
        <v>131</v>
      </c>
      <c r="C18" s="133"/>
      <c r="D18" s="128" t="s">
        <v>132</v>
      </c>
      <c r="E18" s="130"/>
      <c r="F18" s="128" t="s">
        <v>133</v>
      </c>
      <c r="G18" s="129"/>
      <c r="H18" s="128" t="s">
        <v>134</v>
      </c>
      <c r="I18" s="129"/>
      <c r="J18" s="128" t="s">
        <v>135</v>
      </c>
      <c r="K18" s="129"/>
      <c r="M18" s="129"/>
      <c r="N18" s="128" t="s">
        <v>118</v>
      </c>
    </row>
    <row r="19" spans="1:23" ht="15.95" customHeight="1" thickBot="1" x14ac:dyDescent="0.3">
      <c r="A19" s="206"/>
      <c r="B19" s="135" t="s">
        <v>46</v>
      </c>
      <c r="C19" s="99"/>
      <c r="D19" s="43" t="s">
        <v>44</v>
      </c>
      <c r="E19" s="99"/>
      <c r="F19" s="43" t="s">
        <v>26</v>
      </c>
      <c r="G19" s="99"/>
      <c r="H19" s="43" t="s">
        <v>136</v>
      </c>
      <c r="I19" s="29"/>
      <c r="J19" s="43" t="s">
        <v>39</v>
      </c>
      <c r="K19" s="29"/>
    </row>
    <row r="20" spans="1:23" ht="15.95" customHeight="1" thickBot="1" x14ac:dyDescent="0.3">
      <c r="A20" s="206"/>
      <c r="C20" s="99"/>
      <c r="D20" s="43" t="s">
        <v>47</v>
      </c>
      <c r="E20" s="99"/>
      <c r="F20" s="43" t="s">
        <v>27</v>
      </c>
      <c r="G20" s="99"/>
      <c r="I20" s="29"/>
      <c r="K20" s="29"/>
    </row>
    <row r="21" spans="1:23" ht="15.95" customHeight="1" thickBot="1" x14ac:dyDescent="0.3">
      <c r="A21" s="206"/>
      <c r="C21" s="99"/>
      <c r="D21" s="136" t="s">
        <v>48</v>
      </c>
      <c r="E21" s="99"/>
      <c r="F21" s="137"/>
      <c r="G21" s="99"/>
      <c r="H21" s="137"/>
      <c r="I21" s="29"/>
      <c r="J21" s="28"/>
      <c r="K21" s="29"/>
    </row>
    <row r="22" spans="1:23" ht="15.95" customHeight="1" thickBot="1" x14ac:dyDescent="0.3">
      <c r="A22" s="112"/>
      <c r="B22" s="30"/>
      <c r="C22" s="34"/>
    </row>
    <row r="23" spans="1:23" ht="80.099999999999994" customHeight="1" thickBot="1" x14ac:dyDescent="0.3">
      <c r="A23" s="206" t="s">
        <v>137</v>
      </c>
      <c r="B23" s="138" t="s">
        <v>138</v>
      </c>
      <c r="C23" s="130"/>
      <c r="D23" s="138" t="s">
        <v>139</v>
      </c>
      <c r="E23" s="129"/>
      <c r="F23" s="138" t="s">
        <v>140</v>
      </c>
      <c r="G23" s="129"/>
      <c r="H23" s="138" t="s">
        <v>141</v>
      </c>
      <c r="I23" s="129"/>
      <c r="J23" s="129"/>
      <c r="K23" s="129"/>
      <c r="M23" s="129"/>
      <c r="N23" s="128" t="s">
        <v>118</v>
      </c>
    </row>
    <row r="24" spans="1:23" ht="15.95" customHeight="1" thickBot="1" x14ac:dyDescent="0.3">
      <c r="A24" s="211"/>
      <c r="B24" s="43" t="s">
        <v>89</v>
      </c>
      <c r="C24" s="99"/>
      <c r="D24" s="43" t="s">
        <v>62</v>
      </c>
      <c r="E24" s="99"/>
      <c r="F24" s="43" t="s">
        <v>26</v>
      </c>
      <c r="G24" s="99"/>
      <c r="H24" s="43" t="s">
        <v>63</v>
      </c>
      <c r="I24" s="99"/>
      <c r="J24" s="99"/>
      <c r="K24" s="99"/>
      <c r="L24" s="36"/>
      <c r="M24" s="36"/>
      <c r="N24" s="36"/>
    </row>
    <row r="25" spans="1:23" ht="15.95" customHeight="1" thickBot="1" x14ac:dyDescent="0.3">
      <c r="A25" s="211"/>
      <c r="B25" s="99"/>
      <c r="C25" s="99"/>
      <c r="D25" s="139" t="s">
        <v>47</v>
      </c>
      <c r="E25" s="99"/>
      <c r="F25" s="43" t="s">
        <v>63</v>
      </c>
      <c r="G25" s="99"/>
      <c r="H25" s="99"/>
      <c r="I25" s="99"/>
      <c r="J25" s="99"/>
      <c r="K25" s="99"/>
      <c r="L25" s="36"/>
      <c r="M25" s="36"/>
      <c r="N25" s="36"/>
    </row>
    <row r="26" spans="1:23" ht="15.95" customHeight="1" thickBot="1" x14ac:dyDescent="0.3">
      <c r="A26" s="211"/>
      <c r="C26" s="99"/>
      <c r="D26" s="140" t="s">
        <v>58</v>
      </c>
      <c r="E26" s="99"/>
      <c r="F26" s="99"/>
      <c r="G26" s="99"/>
      <c r="H26" s="99"/>
      <c r="I26" s="99"/>
      <c r="J26" s="99"/>
      <c r="K26" s="99"/>
      <c r="L26" s="36"/>
      <c r="M26" s="36"/>
      <c r="N26" s="36"/>
    </row>
    <row r="27" spans="1:23" ht="15.95" customHeight="1" x14ac:dyDescent="0.25">
      <c r="A27" s="211"/>
      <c r="C27" s="32"/>
      <c r="D27" s="99"/>
      <c r="E27" s="99"/>
      <c r="F27" s="99"/>
      <c r="G27" s="99"/>
      <c r="H27" s="99"/>
      <c r="I27" s="99"/>
      <c r="J27" s="99"/>
      <c r="K27" s="99"/>
      <c r="L27" s="36"/>
      <c r="M27" s="36"/>
      <c r="N27" s="36"/>
    </row>
    <row r="28" spans="1:23" ht="15.95" customHeight="1" thickBot="1" x14ac:dyDescent="0.3">
      <c r="A28" s="212"/>
      <c r="B28" s="90"/>
      <c r="C28" s="92"/>
      <c r="D28" s="93"/>
      <c r="E28" s="93"/>
      <c r="F28" s="94"/>
      <c r="G28" s="93"/>
      <c r="H28" s="93"/>
      <c r="I28" s="93"/>
      <c r="J28" s="93"/>
      <c r="K28" s="93"/>
      <c r="L28" s="91"/>
      <c r="M28" s="91"/>
      <c r="N28" s="91"/>
    </row>
    <row r="29" spans="1:23" ht="15.95" customHeight="1" thickTop="1" thickBot="1" x14ac:dyDescent="0.3">
      <c r="A29" s="113"/>
      <c r="B29" s="30"/>
      <c r="C29" s="34"/>
    </row>
    <row r="30" spans="1:23" ht="80.099999999999994" customHeight="1" thickBot="1" x14ac:dyDescent="0.3">
      <c r="A30" s="206" t="s">
        <v>142</v>
      </c>
      <c r="B30" s="138" t="s">
        <v>143</v>
      </c>
      <c r="C30" s="133"/>
      <c r="D30" s="138" t="s">
        <v>144</v>
      </c>
      <c r="E30" s="130"/>
      <c r="F30" s="138" t="s">
        <v>145</v>
      </c>
      <c r="G30" s="129"/>
      <c r="H30" s="138" t="s">
        <v>146</v>
      </c>
      <c r="I30" s="129"/>
      <c r="K30" s="129"/>
      <c r="L30" s="128" t="s">
        <v>118</v>
      </c>
      <c r="M30" s="129"/>
      <c r="N30" s="128" t="s">
        <v>118</v>
      </c>
    </row>
    <row r="31" spans="1:23" ht="15.95" customHeight="1" thickBot="1" x14ac:dyDescent="0.3">
      <c r="A31" s="207"/>
      <c r="B31" s="44" t="s">
        <v>70</v>
      </c>
      <c r="C31" s="99"/>
      <c r="D31" s="43" t="s">
        <v>46</v>
      </c>
      <c r="E31" s="99"/>
      <c r="F31" s="43" t="s">
        <v>30</v>
      </c>
      <c r="G31" s="99"/>
      <c r="H31" s="188" t="s">
        <v>516</v>
      </c>
      <c r="I31" s="99"/>
      <c r="K31" s="29"/>
      <c r="M31" s="29"/>
      <c r="O31" s="29"/>
      <c r="P31" s="29"/>
      <c r="Q31" s="29"/>
      <c r="R31" s="29"/>
      <c r="S31" s="29"/>
      <c r="T31" s="29"/>
      <c r="U31" s="29"/>
      <c r="V31" s="29"/>
      <c r="W31" s="29"/>
    </row>
    <row r="32" spans="1:23" ht="15.95" customHeight="1" thickBot="1" x14ac:dyDescent="0.3">
      <c r="A32" s="207"/>
      <c r="C32" s="99"/>
      <c r="D32" s="43" t="s">
        <v>71</v>
      </c>
      <c r="E32" s="99"/>
      <c r="F32" s="43" t="s">
        <v>68</v>
      </c>
      <c r="G32" s="99"/>
      <c r="H32" s="99"/>
      <c r="I32" s="99"/>
      <c r="K32" s="29"/>
      <c r="M32" s="29"/>
      <c r="O32" s="29"/>
      <c r="P32" s="29"/>
      <c r="Q32" s="29"/>
      <c r="R32" s="29"/>
      <c r="S32" s="29"/>
      <c r="T32" s="29"/>
      <c r="U32" s="29"/>
      <c r="V32" s="29"/>
      <c r="W32" s="29"/>
    </row>
    <row r="33" spans="1:23" ht="15.95" customHeight="1" thickBot="1" x14ac:dyDescent="0.3">
      <c r="A33" s="207"/>
      <c r="C33" s="99"/>
      <c r="D33" s="159" t="s">
        <v>73</v>
      </c>
      <c r="E33" s="160"/>
      <c r="F33" s="43" t="s">
        <v>63</v>
      </c>
      <c r="G33" s="187"/>
      <c r="I33" s="99"/>
      <c r="J33" s="36"/>
      <c r="K33" s="29"/>
      <c r="M33" s="29"/>
      <c r="O33" s="29"/>
      <c r="P33" s="29"/>
      <c r="Q33" s="29"/>
      <c r="R33" s="29"/>
      <c r="S33" s="29"/>
      <c r="T33" s="29"/>
      <c r="U33" s="29"/>
      <c r="V33" s="29"/>
      <c r="W33" s="29"/>
    </row>
    <row r="34" spans="1:23" ht="15.95" customHeight="1" x14ac:dyDescent="0.25">
      <c r="A34" s="207"/>
      <c r="C34" s="99"/>
      <c r="D34" s="99"/>
      <c r="E34" s="99"/>
      <c r="F34" s="137"/>
      <c r="G34" s="99"/>
      <c r="H34" s="137"/>
      <c r="I34" s="99"/>
      <c r="J34" s="36"/>
      <c r="K34" s="29"/>
      <c r="M34" s="29"/>
      <c r="O34" s="29"/>
      <c r="P34" s="29"/>
      <c r="Q34" s="29"/>
      <c r="R34" s="29"/>
      <c r="S34" s="29"/>
      <c r="T34" s="29"/>
      <c r="U34" s="29"/>
      <c r="V34" s="29"/>
      <c r="W34" s="29"/>
    </row>
    <row r="35" spans="1:23" ht="15.95" customHeight="1" x14ac:dyDescent="0.25">
      <c r="A35" s="208"/>
      <c r="C35" s="34"/>
      <c r="D35" s="29"/>
      <c r="E35" s="29"/>
      <c r="F35" s="28"/>
      <c r="G35" s="29"/>
      <c r="H35" s="28"/>
      <c r="I35" s="29"/>
      <c r="K35" s="29"/>
      <c r="M35" s="29"/>
      <c r="O35" s="29"/>
      <c r="P35" s="29"/>
      <c r="Q35" s="29"/>
      <c r="R35" s="29"/>
      <c r="S35" s="29"/>
      <c r="T35" s="29"/>
      <c r="U35" s="29"/>
      <c r="V35" s="29"/>
      <c r="W35" s="29"/>
    </row>
    <row r="36" spans="1:23" ht="15.95" customHeight="1" thickBot="1" x14ac:dyDescent="0.3">
      <c r="A36" s="209"/>
      <c r="C36" s="34"/>
    </row>
    <row r="37" spans="1:23" ht="80.099999999999994" customHeight="1" thickBot="1" x14ac:dyDescent="0.3">
      <c r="A37" s="206" t="s">
        <v>147</v>
      </c>
      <c r="B37" s="138" t="s">
        <v>148</v>
      </c>
      <c r="C37" s="130"/>
      <c r="D37" s="138" t="s">
        <v>149</v>
      </c>
      <c r="E37" s="129"/>
      <c r="F37" s="35" t="s">
        <v>515</v>
      </c>
      <c r="G37" s="129"/>
      <c r="H37" s="128" t="s">
        <v>150</v>
      </c>
      <c r="I37" s="129"/>
      <c r="J37" s="138" t="s">
        <v>151</v>
      </c>
      <c r="K37" s="129"/>
      <c r="L37" s="129"/>
      <c r="M37" s="129"/>
      <c r="N37" s="128" t="s">
        <v>118</v>
      </c>
    </row>
    <row r="38" spans="1:23" ht="15.95" customHeight="1" thickBot="1" x14ac:dyDescent="0.3">
      <c r="A38" s="207"/>
      <c r="B38" s="43" t="s">
        <v>62</v>
      </c>
      <c r="C38" s="99"/>
      <c r="D38" s="43" t="s">
        <v>30</v>
      </c>
      <c r="E38" s="99"/>
      <c r="F38" s="188" t="s">
        <v>88</v>
      </c>
      <c r="G38" s="99"/>
      <c r="H38" s="99"/>
      <c r="I38" s="99"/>
      <c r="J38" s="36"/>
      <c r="K38" s="29"/>
      <c r="M38" s="29"/>
      <c r="N38" s="29"/>
      <c r="O38" s="29"/>
      <c r="P38" s="29"/>
      <c r="Q38" s="29"/>
      <c r="R38" s="29"/>
      <c r="S38" s="29"/>
      <c r="T38" s="29"/>
      <c r="U38" s="29"/>
      <c r="V38" s="29"/>
      <c r="W38" s="29"/>
    </row>
    <row r="39" spans="1:23" ht="15.95" customHeight="1" thickBot="1" x14ac:dyDescent="0.3">
      <c r="A39" s="207"/>
      <c r="B39" s="43" t="s">
        <v>78</v>
      </c>
      <c r="C39" s="99"/>
      <c r="D39" s="43" t="s">
        <v>78</v>
      </c>
      <c r="E39" s="187"/>
      <c r="F39" s="43" t="s">
        <v>97</v>
      </c>
      <c r="G39" s="99"/>
      <c r="H39" s="99"/>
      <c r="I39" s="99"/>
      <c r="J39" s="36"/>
      <c r="K39" s="29"/>
      <c r="M39" s="29"/>
      <c r="N39" s="29"/>
      <c r="O39" s="29"/>
      <c r="P39" s="29"/>
      <c r="Q39" s="29"/>
      <c r="R39" s="29"/>
      <c r="S39" s="29"/>
      <c r="T39" s="29"/>
      <c r="U39" s="29"/>
      <c r="V39" s="29"/>
      <c r="W39" s="29"/>
    </row>
    <row r="40" spans="1:23" ht="15.95" customHeight="1" thickBot="1" x14ac:dyDescent="0.3">
      <c r="A40" s="207"/>
      <c r="C40" s="99"/>
      <c r="D40" s="43" t="s">
        <v>79</v>
      </c>
      <c r="E40" s="99"/>
      <c r="F40" s="99"/>
      <c r="G40" s="99"/>
      <c r="H40" s="99"/>
      <c r="I40" s="99"/>
      <c r="J40" s="36"/>
      <c r="K40" s="29"/>
      <c r="M40" s="29"/>
      <c r="N40" s="29"/>
      <c r="O40" s="29"/>
      <c r="P40" s="29"/>
      <c r="Q40" s="29"/>
      <c r="R40" s="29"/>
      <c r="S40" s="29"/>
      <c r="T40" s="29"/>
      <c r="U40" s="29"/>
      <c r="V40" s="29"/>
      <c r="W40" s="29"/>
    </row>
    <row r="41" spans="1:23" ht="15.95" customHeight="1" thickBot="1" x14ac:dyDescent="0.3">
      <c r="A41" s="210"/>
      <c r="B41" s="90"/>
      <c r="C41" s="92"/>
      <c r="D41" s="94"/>
      <c r="E41" s="93"/>
      <c r="F41" s="93"/>
      <c r="G41" s="93"/>
      <c r="H41" s="93"/>
      <c r="I41" s="93"/>
      <c r="J41" s="91"/>
      <c r="K41" s="93"/>
      <c r="L41" s="91"/>
      <c r="M41" s="93"/>
      <c r="N41" s="93"/>
      <c r="O41" s="29"/>
      <c r="P41" s="29"/>
      <c r="Q41" s="29"/>
      <c r="R41" s="29"/>
      <c r="S41" s="29"/>
      <c r="T41" s="29"/>
      <c r="U41" s="29"/>
      <c r="V41" s="29"/>
      <c r="W41" s="29"/>
    </row>
    <row r="42" spans="1:23" ht="15.95" customHeight="1" thickTop="1" thickBot="1" x14ac:dyDescent="0.3">
      <c r="A42" s="114"/>
      <c r="B42" s="30"/>
      <c r="C42" s="34"/>
    </row>
    <row r="43" spans="1:23" ht="80.099999999999994" customHeight="1" thickBot="1" x14ac:dyDescent="0.3">
      <c r="A43" s="206" t="s">
        <v>152</v>
      </c>
      <c r="B43" s="138" t="s">
        <v>153</v>
      </c>
      <c r="C43" s="130"/>
      <c r="D43" s="138" t="s">
        <v>154</v>
      </c>
      <c r="E43" s="129"/>
      <c r="F43" s="138" t="s">
        <v>151</v>
      </c>
      <c r="G43" s="129"/>
      <c r="H43" s="138" t="s">
        <v>151</v>
      </c>
      <c r="I43" s="129"/>
      <c r="J43" s="128" t="s">
        <v>155</v>
      </c>
    </row>
    <row r="44" spans="1:23" ht="15.95" customHeight="1" thickBot="1" x14ac:dyDescent="0.3">
      <c r="A44" s="207"/>
      <c r="B44" s="43" t="s">
        <v>62</v>
      </c>
      <c r="C44" s="99"/>
      <c r="D44" s="43" t="s">
        <v>54</v>
      </c>
      <c r="E44" s="29"/>
      <c r="F44" s="29"/>
      <c r="G44" s="29"/>
      <c r="H44" s="29"/>
      <c r="I44" s="29"/>
      <c r="K44" s="29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29"/>
    </row>
    <row r="45" spans="1:23" ht="15.95" customHeight="1" x14ac:dyDescent="0.25">
      <c r="A45" s="207"/>
      <c r="B45" s="28"/>
      <c r="C45" s="34"/>
      <c r="D45" s="28"/>
      <c r="E45" s="29"/>
      <c r="F45" s="29"/>
      <c r="G45" s="29"/>
      <c r="H45" s="29"/>
      <c r="I45" s="29"/>
      <c r="K45" s="29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29"/>
    </row>
    <row r="46" spans="1:23" ht="15.95" customHeight="1" thickBot="1" x14ac:dyDescent="0.3">
      <c r="A46" s="207"/>
      <c r="B46" s="30"/>
      <c r="C46" s="34"/>
    </row>
    <row r="47" spans="1:23" ht="80.099999999999994" customHeight="1" thickBot="1" x14ac:dyDescent="0.3">
      <c r="A47" s="206" t="s">
        <v>156</v>
      </c>
      <c r="B47" s="138" t="s">
        <v>157</v>
      </c>
      <c r="C47" s="130"/>
      <c r="D47" s="138" t="s">
        <v>151</v>
      </c>
      <c r="E47" s="129"/>
      <c r="F47" s="128" t="s">
        <v>150</v>
      </c>
      <c r="G47" s="129"/>
      <c r="H47" s="128" t="s">
        <v>150</v>
      </c>
    </row>
    <row r="48" spans="1:23" ht="15.95" customHeight="1" thickBot="1" x14ac:dyDescent="0.3">
      <c r="A48" s="207"/>
      <c r="B48" s="43" t="s">
        <v>54</v>
      </c>
      <c r="C48" s="34"/>
      <c r="D48" s="29"/>
      <c r="E48" s="29"/>
      <c r="F48" s="29"/>
      <c r="G48" s="29"/>
      <c r="H48" s="29"/>
      <c r="I48" s="29"/>
      <c r="K48" s="29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29"/>
    </row>
    <row r="49" spans="1:15" s="29" customFormat="1" ht="15.95" customHeight="1" thickBot="1" x14ac:dyDescent="0.3">
      <c r="A49" s="207"/>
      <c r="B49" s="43" t="s">
        <v>55</v>
      </c>
      <c r="C49" s="33"/>
      <c r="D49" s="30"/>
      <c r="E49" s="30"/>
      <c r="F49" s="30"/>
      <c r="G49" s="30"/>
      <c r="H49" s="30"/>
      <c r="I49" s="30"/>
      <c r="J49" s="30"/>
      <c r="K49" s="30"/>
      <c r="L49" s="30"/>
      <c r="M49" s="30"/>
      <c r="N49" s="30"/>
      <c r="O49" s="30"/>
    </row>
    <row r="50" spans="1:15" s="29" customFormat="1" ht="15.95" customHeight="1" thickBot="1" x14ac:dyDescent="0.3">
      <c r="A50" s="207"/>
      <c r="B50" s="43" t="s">
        <v>86</v>
      </c>
      <c r="C50" s="33"/>
      <c r="D50" s="30"/>
      <c r="E50" s="30"/>
      <c r="F50" s="30"/>
      <c r="G50" s="30"/>
      <c r="H50" s="30"/>
      <c r="I50" s="30"/>
      <c r="J50" s="30"/>
      <c r="K50" s="30"/>
      <c r="L50" s="30"/>
      <c r="M50" s="30"/>
      <c r="N50" s="30"/>
      <c r="O50" s="30"/>
    </row>
    <row r="51" spans="1:15" s="29" customFormat="1" x14ac:dyDescent="0.25">
      <c r="A51" s="39"/>
      <c r="B51" s="32"/>
      <c r="C51" s="33"/>
      <c r="D51" s="30"/>
      <c r="E51" s="30"/>
      <c r="F51" s="30"/>
      <c r="G51" s="30"/>
      <c r="H51" s="30"/>
      <c r="I51" s="30"/>
      <c r="J51" s="30"/>
      <c r="K51" s="30"/>
      <c r="L51" s="30"/>
      <c r="M51" s="30"/>
      <c r="N51" s="30"/>
      <c r="O51" s="30"/>
    </row>
    <row r="52" spans="1:15" s="29" customFormat="1" x14ac:dyDescent="0.25">
      <c r="A52" s="40"/>
      <c r="B52" s="32"/>
      <c r="C52" s="33"/>
      <c r="D52" s="30"/>
      <c r="E52" s="30"/>
      <c r="F52" s="30"/>
      <c r="G52" s="30"/>
      <c r="H52" s="30"/>
      <c r="I52" s="30"/>
      <c r="J52" s="30"/>
      <c r="K52" s="30"/>
      <c r="L52" s="30"/>
      <c r="M52" s="30"/>
      <c r="N52" s="30"/>
      <c r="O52" s="30"/>
    </row>
    <row r="53" spans="1:15" s="29" customFormat="1" x14ac:dyDescent="0.25">
      <c r="A53" s="40"/>
      <c r="B53" s="32"/>
      <c r="C53" s="33"/>
      <c r="D53" s="30"/>
      <c r="E53" s="30"/>
      <c r="F53" s="30"/>
      <c r="G53" s="30"/>
      <c r="H53" s="30"/>
      <c r="I53" s="30"/>
      <c r="J53" s="30"/>
      <c r="K53" s="30"/>
      <c r="L53" s="30"/>
      <c r="M53" s="30"/>
      <c r="N53" s="30"/>
      <c r="O53" s="30"/>
    </row>
    <row r="54" spans="1:15" s="29" customFormat="1" x14ac:dyDescent="0.25">
      <c r="A54" s="40"/>
      <c r="B54" s="32"/>
      <c r="C54" s="33"/>
      <c r="D54" s="30"/>
      <c r="E54" s="30"/>
      <c r="F54" s="30"/>
      <c r="G54" s="30"/>
      <c r="H54" s="30"/>
      <c r="I54" s="30"/>
      <c r="J54" s="30"/>
      <c r="K54" s="30"/>
      <c r="L54" s="30"/>
      <c r="M54" s="30"/>
      <c r="N54" s="30"/>
      <c r="O54" s="30"/>
    </row>
    <row r="55" spans="1:15" s="29" customFormat="1" x14ac:dyDescent="0.25">
      <c r="A55" s="40"/>
      <c r="B55" s="32"/>
      <c r="C55" s="33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</row>
    <row r="56" spans="1:15" s="29" customFormat="1" x14ac:dyDescent="0.25">
      <c r="A56" s="40"/>
      <c r="B56" s="32"/>
      <c r="C56" s="33"/>
      <c r="D56" s="30"/>
      <c r="E56" s="30"/>
      <c r="F56" s="30"/>
      <c r="G56" s="30"/>
      <c r="H56" s="30"/>
      <c r="I56" s="30"/>
      <c r="J56" s="30"/>
      <c r="K56" s="30"/>
      <c r="L56" s="30"/>
      <c r="M56" s="30"/>
      <c r="N56" s="30"/>
      <c r="O56" s="30"/>
    </row>
    <row r="57" spans="1:15" s="29" customFormat="1" x14ac:dyDescent="0.25">
      <c r="A57" s="40"/>
      <c r="B57" s="32"/>
      <c r="C57" s="33"/>
      <c r="D57" s="30"/>
      <c r="E57" s="30"/>
      <c r="F57" s="30"/>
      <c r="G57" s="30"/>
      <c r="H57" s="30"/>
      <c r="I57" s="30"/>
      <c r="J57" s="30"/>
      <c r="K57" s="30"/>
      <c r="L57" s="30"/>
      <c r="M57" s="30"/>
      <c r="N57" s="30"/>
      <c r="O57" s="30"/>
    </row>
    <row r="58" spans="1:15" s="29" customFormat="1" x14ac:dyDescent="0.25">
      <c r="A58" s="40"/>
      <c r="B58" s="32"/>
      <c r="C58" s="33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</row>
    <row r="59" spans="1:15" s="29" customFormat="1" x14ac:dyDescent="0.25">
      <c r="A59" s="40"/>
      <c r="B59" s="32"/>
      <c r="C59" s="33"/>
      <c r="D59" s="30"/>
      <c r="E59" s="30"/>
      <c r="F59" s="30"/>
      <c r="G59" s="30"/>
      <c r="H59" s="30"/>
      <c r="I59" s="30"/>
      <c r="J59" s="30"/>
      <c r="K59" s="30"/>
      <c r="L59" s="30"/>
      <c r="M59" s="30"/>
      <c r="N59" s="30"/>
      <c r="O59" s="30"/>
    </row>
    <row r="60" spans="1:15" s="29" customFormat="1" x14ac:dyDescent="0.25">
      <c r="A60" s="40"/>
      <c r="B60" s="32"/>
      <c r="C60" s="33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</row>
    <row r="61" spans="1:15" s="29" customFormat="1" x14ac:dyDescent="0.25">
      <c r="A61" s="40"/>
      <c r="B61" s="32"/>
      <c r="C61" s="33"/>
      <c r="D61" s="30"/>
      <c r="E61" s="30"/>
      <c r="F61" s="30"/>
      <c r="G61" s="30"/>
      <c r="H61" s="30"/>
      <c r="I61" s="30"/>
      <c r="J61" s="30"/>
      <c r="K61" s="30"/>
      <c r="L61" s="30"/>
      <c r="M61" s="30"/>
      <c r="N61" s="30"/>
      <c r="O61" s="30"/>
    </row>
    <row r="62" spans="1:15" s="29" customFormat="1" x14ac:dyDescent="0.25">
      <c r="A62" s="40"/>
      <c r="B62" s="32"/>
      <c r="C62" s="33"/>
      <c r="D62" s="30"/>
      <c r="E62" s="30"/>
      <c r="F62" s="30"/>
      <c r="G62" s="30"/>
      <c r="H62" s="30"/>
      <c r="I62" s="30"/>
      <c r="J62" s="30"/>
      <c r="K62" s="30"/>
      <c r="L62" s="30"/>
      <c r="M62" s="30"/>
      <c r="N62" s="30"/>
      <c r="O62" s="30"/>
    </row>
    <row r="63" spans="1:15" s="29" customFormat="1" x14ac:dyDescent="0.25">
      <c r="A63" s="40"/>
      <c r="B63" s="32"/>
      <c r="C63" s="33"/>
      <c r="D63" s="30"/>
      <c r="E63" s="30"/>
      <c r="F63" s="30"/>
      <c r="G63" s="30"/>
      <c r="H63" s="30"/>
      <c r="I63" s="30"/>
      <c r="J63" s="30"/>
      <c r="K63" s="30"/>
      <c r="L63" s="30"/>
      <c r="M63" s="30"/>
      <c r="N63" s="30"/>
      <c r="O63" s="30"/>
    </row>
    <row r="64" spans="1:15" s="36" customFormat="1" x14ac:dyDescent="0.25">
      <c r="A64" s="39"/>
      <c r="B64" s="32"/>
      <c r="C64" s="33"/>
      <c r="D64" s="30"/>
      <c r="E64" s="30"/>
      <c r="F64" s="30"/>
      <c r="G64" s="30"/>
      <c r="H64" s="30"/>
      <c r="I64" s="30"/>
      <c r="J64" s="30"/>
      <c r="K64" s="30"/>
      <c r="L64" s="30"/>
      <c r="M64" s="30"/>
      <c r="N64" s="30"/>
      <c r="O64" s="30"/>
    </row>
    <row r="65" spans="1:15" s="36" customFormat="1" x14ac:dyDescent="0.25">
      <c r="A65" s="39"/>
      <c r="B65" s="32"/>
      <c r="C65" s="33"/>
      <c r="D65" s="30"/>
      <c r="E65" s="30"/>
      <c r="F65" s="30"/>
      <c r="G65" s="30"/>
      <c r="H65" s="30"/>
      <c r="I65" s="30"/>
      <c r="J65" s="30"/>
      <c r="K65" s="30"/>
      <c r="L65" s="30"/>
      <c r="M65" s="30"/>
      <c r="N65" s="30"/>
      <c r="O65" s="30"/>
    </row>
    <row r="66" spans="1:15" s="36" customFormat="1" x14ac:dyDescent="0.25">
      <c r="A66" s="39"/>
      <c r="B66" s="32"/>
      <c r="C66" s="33"/>
      <c r="D66" s="30"/>
      <c r="E66" s="30"/>
      <c r="F66" s="30"/>
      <c r="G66" s="30"/>
      <c r="H66" s="30"/>
      <c r="I66" s="30"/>
      <c r="J66" s="30"/>
      <c r="K66" s="30"/>
      <c r="L66" s="30"/>
      <c r="M66" s="30"/>
      <c r="N66" s="30"/>
      <c r="O66" s="30"/>
    </row>
    <row r="67" spans="1:15" s="36" customFormat="1" x14ac:dyDescent="0.25">
      <c r="A67" s="39"/>
      <c r="B67" s="32"/>
      <c r="C67" s="33"/>
      <c r="D67" s="30"/>
      <c r="E67" s="30"/>
      <c r="F67" s="30"/>
      <c r="G67" s="30"/>
      <c r="H67" s="30"/>
      <c r="I67" s="30"/>
      <c r="J67" s="30"/>
      <c r="K67" s="30"/>
      <c r="L67" s="30"/>
      <c r="M67" s="30"/>
      <c r="N67" s="30"/>
      <c r="O67" s="30"/>
    </row>
    <row r="68" spans="1:15" s="36" customFormat="1" x14ac:dyDescent="0.25">
      <c r="A68" s="39"/>
      <c r="B68" s="32"/>
      <c r="C68" s="33"/>
      <c r="D68" s="30"/>
      <c r="E68" s="30"/>
      <c r="F68" s="30"/>
      <c r="G68" s="30"/>
      <c r="H68" s="30"/>
      <c r="I68" s="30"/>
      <c r="J68" s="30"/>
      <c r="K68" s="30"/>
      <c r="L68" s="30"/>
      <c r="M68" s="30"/>
      <c r="N68" s="30"/>
      <c r="O68" s="30"/>
    </row>
    <row r="69" spans="1:15" s="36" customFormat="1" x14ac:dyDescent="0.25">
      <c r="A69" s="39"/>
      <c r="B69" s="32"/>
      <c r="C69" s="33"/>
      <c r="D69" s="30"/>
      <c r="E69" s="30"/>
      <c r="F69" s="30"/>
      <c r="G69" s="30"/>
      <c r="H69" s="30"/>
      <c r="I69" s="30"/>
      <c r="J69" s="30"/>
      <c r="K69" s="30"/>
      <c r="L69" s="30"/>
      <c r="M69" s="30"/>
      <c r="N69" s="30"/>
      <c r="O69" s="30"/>
    </row>
    <row r="70" spans="1:15" s="36" customFormat="1" x14ac:dyDescent="0.25">
      <c r="A70" s="39"/>
      <c r="B70" s="32"/>
      <c r="C70" s="33"/>
      <c r="D70" s="30"/>
      <c r="E70" s="30"/>
      <c r="F70" s="30"/>
      <c r="G70" s="30"/>
      <c r="H70" s="30"/>
      <c r="I70" s="30"/>
      <c r="J70" s="30"/>
      <c r="K70" s="30"/>
      <c r="L70" s="30"/>
      <c r="M70" s="30"/>
      <c r="N70" s="30"/>
      <c r="O70" s="30"/>
    </row>
    <row r="71" spans="1:15" s="36" customFormat="1" x14ac:dyDescent="0.25">
      <c r="A71" s="39"/>
      <c r="B71" s="32"/>
      <c r="C71" s="33"/>
      <c r="D71" s="30"/>
      <c r="E71" s="30"/>
      <c r="F71" s="30"/>
      <c r="G71" s="30"/>
      <c r="H71" s="30"/>
      <c r="I71" s="30"/>
      <c r="J71" s="30"/>
      <c r="K71" s="30"/>
      <c r="L71" s="30"/>
      <c r="M71" s="30"/>
      <c r="N71" s="30"/>
      <c r="O71" s="30"/>
    </row>
    <row r="72" spans="1:15" s="36" customFormat="1" x14ac:dyDescent="0.25">
      <c r="A72" s="39"/>
      <c r="B72" s="32"/>
      <c r="C72" s="33"/>
      <c r="D72" s="30"/>
      <c r="E72" s="30"/>
      <c r="F72" s="30"/>
      <c r="G72" s="30"/>
      <c r="H72" s="30"/>
      <c r="I72" s="30"/>
      <c r="J72" s="30"/>
      <c r="K72" s="30"/>
      <c r="L72" s="30"/>
      <c r="M72" s="30"/>
      <c r="N72" s="30"/>
      <c r="O72" s="30"/>
    </row>
    <row r="73" spans="1:15" s="36" customFormat="1" x14ac:dyDescent="0.25">
      <c r="A73" s="39"/>
      <c r="B73" s="32"/>
      <c r="C73" s="33"/>
      <c r="D73" s="30"/>
      <c r="E73" s="30"/>
      <c r="F73" s="30"/>
      <c r="G73" s="30"/>
      <c r="H73" s="30"/>
      <c r="I73" s="30"/>
      <c r="J73" s="30"/>
      <c r="K73" s="30"/>
      <c r="L73" s="30"/>
      <c r="M73" s="30"/>
      <c r="N73" s="30"/>
      <c r="O73" s="30"/>
    </row>
    <row r="74" spans="1:15" s="36" customFormat="1" x14ac:dyDescent="0.25">
      <c r="A74" s="39"/>
      <c r="B74" s="32"/>
      <c r="C74" s="33"/>
      <c r="D74" s="30"/>
      <c r="E74" s="30"/>
      <c r="F74" s="30"/>
      <c r="G74" s="30"/>
      <c r="H74" s="30"/>
      <c r="I74" s="30"/>
      <c r="J74" s="30"/>
      <c r="K74" s="30"/>
      <c r="L74" s="30"/>
      <c r="M74" s="30"/>
      <c r="N74" s="30"/>
      <c r="O74" s="30"/>
    </row>
    <row r="75" spans="1:15" s="36" customFormat="1" x14ac:dyDescent="0.25">
      <c r="A75" s="39"/>
      <c r="B75" s="32"/>
      <c r="C75" s="33"/>
      <c r="D75" s="30"/>
      <c r="E75" s="30"/>
      <c r="F75" s="30"/>
      <c r="G75" s="30"/>
      <c r="H75" s="30"/>
      <c r="I75" s="30"/>
      <c r="J75" s="30"/>
      <c r="K75" s="30"/>
      <c r="L75" s="30"/>
      <c r="M75" s="30"/>
      <c r="N75" s="30"/>
      <c r="O75" s="30"/>
    </row>
    <row r="76" spans="1:15" s="36" customFormat="1" x14ac:dyDescent="0.25">
      <c r="A76" s="39"/>
      <c r="B76" s="32"/>
      <c r="C76" s="33"/>
      <c r="D76" s="30"/>
      <c r="E76" s="30"/>
      <c r="F76" s="30"/>
      <c r="G76" s="30"/>
      <c r="H76" s="30"/>
      <c r="I76" s="30"/>
      <c r="J76" s="30"/>
      <c r="K76" s="30"/>
      <c r="L76" s="30"/>
      <c r="M76" s="30"/>
      <c r="N76" s="30"/>
      <c r="O76" s="30"/>
    </row>
    <row r="77" spans="1:15" s="36" customFormat="1" x14ac:dyDescent="0.25">
      <c r="A77" s="39"/>
      <c r="B77" s="32"/>
      <c r="C77" s="33"/>
      <c r="D77" s="30"/>
      <c r="E77" s="30"/>
      <c r="F77" s="30"/>
      <c r="G77" s="30"/>
      <c r="H77" s="30"/>
      <c r="I77" s="30"/>
      <c r="J77" s="30"/>
      <c r="K77" s="30"/>
      <c r="L77" s="30"/>
      <c r="M77" s="30"/>
      <c r="N77" s="30"/>
      <c r="O77" s="30"/>
    </row>
    <row r="78" spans="1:15" s="36" customFormat="1" x14ac:dyDescent="0.25">
      <c r="A78" s="39"/>
      <c r="B78" s="32"/>
      <c r="C78" s="33"/>
      <c r="D78" s="30"/>
      <c r="E78" s="30"/>
      <c r="F78" s="30"/>
      <c r="G78" s="30"/>
      <c r="H78" s="30"/>
      <c r="I78" s="30"/>
      <c r="J78" s="30"/>
      <c r="K78" s="30"/>
      <c r="L78" s="30"/>
      <c r="M78" s="30"/>
      <c r="N78" s="30"/>
      <c r="O78" s="30"/>
    </row>
    <row r="79" spans="1:15" s="36" customFormat="1" x14ac:dyDescent="0.25">
      <c r="A79" s="39"/>
      <c r="B79" s="32"/>
      <c r="C79" s="33"/>
      <c r="D79" s="30"/>
      <c r="E79" s="30"/>
      <c r="F79" s="30"/>
      <c r="G79" s="30"/>
      <c r="H79" s="30"/>
      <c r="I79" s="30"/>
      <c r="J79" s="30"/>
      <c r="K79" s="30"/>
      <c r="L79" s="30"/>
      <c r="M79" s="30"/>
      <c r="N79" s="30"/>
      <c r="O79" s="30"/>
    </row>
    <row r="80" spans="1:15" s="36" customFormat="1" x14ac:dyDescent="0.25">
      <c r="A80" s="39"/>
      <c r="B80" s="32"/>
      <c r="C80" s="33"/>
      <c r="D80" s="30"/>
      <c r="E80" s="30"/>
      <c r="F80" s="30"/>
      <c r="G80" s="30"/>
      <c r="H80" s="30"/>
      <c r="I80" s="30"/>
      <c r="J80" s="30"/>
      <c r="K80" s="30"/>
      <c r="L80" s="30"/>
      <c r="M80" s="30"/>
      <c r="N80" s="30"/>
      <c r="O80" s="30"/>
    </row>
    <row r="81" spans="1:15" s="36" customFormat="1" x14ac:dyDescent="0.25">
      <c r="A81" s="39"/>
      <c r="B81" s="32"/>
      <c r="C81" s="33"/>
      <c r="D81" s="30"/>
      <c r="E81" s="30"/>
      <c r="F81" s="30"/>
      <c r="G81" s="30"/>
      <c r="H81" s="30"/>
      <c r="I81" s="30"/>
      <c r="J81" s="30"/>
      <c r="K81" s="30"/>
      <c r="L81" s="30"/>
      <c r="M81" s="30"/>
      <c r="N81" s="30"/>
      <c r="O81" s="30"/>
    </row>
    <row r="82" spans="1:15" s="36" customFormat="1" x14ac:dyDescent="0.25">
      <c r="A82" s="39"/>
      <c r="B82" s="32"/>
      <c r="C82" s="33"/>
      <c r="D82" s="30"/>
      <c r="E82" s="30"/>
      <c r="F82" s="30"/>
      <c r="G82" s="30"/>
      <c r="H82" s="30"/>
      <c r="I82" s="30"/>
      <c r="J82" s="30"/>
      <c r="K82" s="30"/>
      <c r="L82" s="30"/>
      <c r="M82" s="30"/>
      <c r="N82" s="30"/>
      <c r="O82" s="30"/>
    </row>
    <row r="83" spans="1:15" s="36" customFormat="1" x14ac:dyDescent="0.25">
      <c r="A83" s="39"/>
      <c r="B83" s="32"/>
      <c r="C83" s="33"/>
      <c r="D83" s="30"/>
      <c r="E83" s="30"/>
      <c r="F83" s="30"/>
      <c r="G83" s="30"/>
      <c r="H83" s="30"/>
      <c r="I83" s="30"/>
      <c r="J83" s="30"/>
      <c r="K83" s="30"/>
      <c r="L83" s="30"/>
      <c r="M83" s="30"/>
      <c r="N83" s="30"/>
      <c r="O83" s="30"/>
    </row>
    <row r="84" spans="1:15" s="36" customFormat="1" x14ac:dyDescent="0.25">
      <c r="A84" s="39"/>
      <c r="B84" s="32"/>
      <c r="C84" s="33"/>
      <c r="D84" s="30"/>
      <c r="E84" s="30"/>
      <c r="F84" s="30"/>
      <c r="G84" s="30"/>
      <c r="H84" s="30"/>
      <c r="I84" s="30"/>
      <c r="J84" s="30"/>
      <c r="K84" s="30"/>
      <c r="L84" s="30"/>
      <c r="M84" s="30"/>
      <c r="N84" s="30"/>
      <c r="O84" s="30"/>
    </row>
    <row r="85" spans="1:15" s="36" customFormat="1" x14ac:dyDescent="0.25">
      <c r="A85" s="39"/>
      <c r="B85" s="32"/>
      <c r="C85" s="33"/>
      <c r="D85" s="30"/>
      <c r="E85" s="30"/>
      <c r="F85" s="30"/>
      <c r="G85" s="30"/>
      <c r="H85" s="30"/>
      <c r="I85" s="30"/>
      <c r="J85" s="30"/>
      <c r="K85" s="30"/>
      <c r="L85" s="30"/>
      <c r="M85" s="30"/>
      <c r="N85" s="30"/>
      <c r="O85" s="30"/>
    </row>
    <row r="86" spans="1:15" s="36" customFormat="1" x14ac:dyDescent="0.25">
      <c r="A86" s="39"/>
      <c r="B86" s="32"/>
      <c r="C86" s="33"/>
      <c r="D86" s="30"/>
      <c r="E86" s="30"/>
      <c r="F86" s="30"/>
      <c r="G86" s="30"/>
      <c r="H86" s="30"/>
      <c r="I86" s="30"/>
      <c r="J86" s="30"/>
      <c r="K86" s="30"/>
      <c r="L86" s="30"/>
      <c r="M86" s="30"/>
      <c r="N86" s="30"/>
      <c r="O86" s="30"/>
    </row>
    <row r="87" spans="1:15" s="36" customFormat="1" x14ac:dyDescent="0.25">
      <c r="A87" s="39"/>
      <c r="B87" s="32"/>
      <c r="C87" s="33"/>
      <c r="D87" s="30"/>
      <c r="E87" s="30"/>
      <c r="F87" s="30"/>
      <c r="G87" s="30"/>
      <c r="H87" s="30"/>
      <c r="I87" s="30"/>
      <c r="J87" s="30"/>
      <c r="K87" s="30"/>
      <c r="L87" s="30"/>
      <c r="M87" s="30"/>
      <c r="N87" s="30"/>
      <c r="O87" s="30"/>
    </row>
    <row r="88" spans="1:15" s="36" customFormat="1" x14ac:dyDescent="0.25">
      <c r="A88" s="39"/>
      <c r="B88" s="32"/>
      <c r="C88" s="33"/>
      <c r="D88" s="30"/>
      <c r="E88" s="30"/>
      <c r="F88" s="30"/>
      <c r="G88" s="30"/>
      <c r="H88" s="30"/>
      <c r="I88" s="30"/>
      <c r="J88" s="30"/>
      <c r="K88" s="30"/>
      <c r="L88" s="30"/>
      <c r="M88" s="30"/>
      <c r="N88" s="30"/>
      <c r="O88" s="30"/>
    </row>
    <row r="89" spans="1:15" s="36" customFormat="1" x14ac:dyDescent="0.25">
      <c r="A89" s="39"/>
      <c r="B89" s="32"/>
      <c r="C89" s="33"/>
      <c r="D89" s="30"/>
      <c r="E89" s="30"/>
      <c r="F89" s="30"/>
      <c r="G89" s="30"/>
      <c r="H89" s="30"/>
      <c r="I89" s="30"/>
      <c r="J89" s="30"/>
      <c r="K89" s="30"/>
      <c r="L89" s="30"/>
      <c r="M89" s="30"/>
      <c r="N89" s="30"/>
      <c r="O89" s="30"/>
    </row>
    <row r="90" spans="1:15" s="36" customFormat="1" x14ac:dyDescent="0.25">
      <c r="A90" s="39"/>
      <c r="B90" s="32"/>
      <c r="C90" s="33"/>
      <c r="D90" s="30"/>
      <c r="E90" s="30"/>
      <c r="F90" s="30"/>
      <c r="G90" s="30"/>
      <c r="H90" s="30"/>
      <c r="I90" s="30"/>
      <c r="J90" s="30"/>
      <c r="K90" s="30"/>
      <c r="L90" s="30"/>
      <c r="M90" s="30"/>
      <c r="N90" s="30"/>
      <c r="O90" s="30"/>
    </row>
    <row r="91" spans="1:15" s="36" customFormat="1" x14ac:dyDescent="0.25">
      <c r="A91" s="39"/>
      <c r="B91" s="32"/>
      <c r="C91" s="33"/>
      <c r="D91" s="30"/>
      <c r="E91" s="30"/>
      <c r="F91" s="30"/>
      <c r="G91" s="30"/>
      <c r="H91" s="30"/>
      <c r="I91" s="30"/>
      <c r="J91" s="30"/>
      <c r="K91" s="30"/>
      <c r="L91" s="30"/>
      <c r="M91" s="30"/>
      <c r="N91" s="30"/>
      <c r="O91" s="30"/>
    </row>
    <row r="92" spans="1:15" s="36" customFormat="1" x14ac:dyDescent="0.25">
      <c r="A92" s="39"/>
      <c r="B92" s="32"/>
      <c r="C92" s="33"/>
      <c r="D92" s="30"/>
      <c r="E92" s="30"/>
      <c r="F92" s="30"/>
      <c r="G92" s="30"/>
      <c r="H92" s="30"/>
      <c r="I92" s="30"/>
      <c r="J92" s="30"/>
      <c r="K92" s="30"/>
      <c r="L92" s="30"/>
      <c r="M92" s="30"/>
      <c r="N92" s="30"/>
      <c r="O92" s="30"/>
    </row>
    <row r="93" spans="1:15" s="36" customFormat="1" x14ac:dyDescent="0.25">
      <c r="A93" s="39"/>
      <c r="B93" s="32"/>
      <c r="C93" s="33"/>
      <c r="D93" s="30"/>
      <c r="E93" s="30"/>
      <c r="F93" s="30"/>
      <c r="G93" s="30"/>
      <c r="H93" s="30"/>
      <c r="I93" s="30"/>
      <c r="J93" s="30"/>
      <c r="K93" s="30"/>
      <c r="L93" s="30"/>
      <c r="M93" s="30"/>
      <c r="N93" s="30"/>
      <c r="O93" s="30"/>
    </row>
    <row r="94" spans="1:15" s="36" customFormat="1" x14ac:dyDescent="0.25">
      <c r="A94" s="39"/>
      <c r="B94" s="32"/>
      <c r="C94" s="33"/>
      <c r="D94" s="30"/>
      <c r="E94" s="30"/>
      <c r="F94" s="30"/>
      <c r="G94" s="30"/>
      <c r="H94" s="30"/>
      <c r="I94" s="30"/>
      <c r="J94" s="30"/>
      <c r="K94" s="30"/>
      <c r="L94" s="30"/>
      <c r="M94" s="30"/>
      <c r="N94" s="30"/>
      <c r="O94" s="30"/>
    </row>
    <row r="95" spans="1:15" s="36" customFormat="1" x14ac:dyDescent="0.25">
      <c r="A95" s="39"/>
      <c r="B95" s="32"/>
      <c r="C95" s="33"/>
      <c r="D95" s="30"/>
      <c r="E95" s="30"/>
      <c r="F95" s="30"/>
      <c r="G95" s="30"/>
      <c r="H95" s="30"/>
      <c r="I95" s="30"/>
      <c r="J95" s="30"/>
      <c r="K95" s="30"/>
      <c r="L95" s="30"/>
      <c r="M95" s="30"/>
      <c r="N95" s="30"/>
      <c r="O95" s="30"/>
    </row>
    <row r="96" spans="1:15" s="36" customFormat="1" x14ac:dyDescent="0.25">
      <c r="A96" s="39"/>
      <c r="B96" s="32"/>
      <c r="C96" s="33"/>
      <c r="D96" s="30"/>
      <c r="E96" s="30"/>
      <c r="F96" s="30"/>
      <c r="G96" s="30"/>
      <c r="H96" s="30"/>
      <c r="I96" s="30"/>
      <c r="J96" s="30"/>
      <c r="K96" s="30"/>
      <c r="L96" s="30"/>
      <c r="M96" s="30"/>
      <c r="N96" s="30"/>
      <c r="O96" s="30"/>
    </row>
    <row r="97" spans="1:15" s="36" customFormat="1" x14ac:dyDescent="0.25">
      <c r="A97" s="39"/>
      <c r="B97" s="32"/>
      <c r="C97" s="33"/>
      <c r="D97" s="30"/>
      <c r="E97" s="30"/>
      <c r="F97" s="30"/>
      <c r="G97" s="30"/>
      <c r="H97" s="30"/>
      <c r="I97" s="30"/>
      <c r="J97" s="30"/>
      <c r="K97" s="30"/>
      <c r="L97" s="30"/>
      <c r="M97" s="30"/>
      <c r="N97" s="30"/>
      <c r="O97" s="30"/>
    </row>
    <row r="98" spans="1:15" s="36" customFormat="1" x14ac:dyDescent="0.25">
      <c r="A98" s="39"/>
      <c r="B98" s="32"/>
      <c r="C98" s="33"/>
      <c r="D98" s="30"/>
      <c r="E98" s="30"/>
      <c r="F98" s="30"/>
      <c r="G98" s="30"/>
      <c r="H98" s="30"/>
      <c r="I98" s="30"/>
      <c r="J98" s="30"/>
      <c r="K98" s="30"/>
      <c r="L98" s="30"/>
      <c r="M98" s="30"/>
      <c r="N98" s="30"/>
      <c r="O98" s="30"/>
    </row>
    <row r="99" spans="1:15" s="36" customFormat="1" x14ac:dyDescent="0.25">
      <c r="A99" s="39"/>
      <c r="B99" s="32"/>
      <c r="C99" s="33"/>
      <c r="D99" s="30"/>
      <c r="E99" s="30"/>
      <c r="F99" s="30"/>
      <c r="G99" s="30"/>
      <c r="H99" s="30"/>
      <c r="I99" s="30"/>
      <c r="J99" s="30"/>
      <c r="K99" s="30"/>
      <c r="L99" s="30"/>
      <c r="M99" s="30"/>
      <c r="N99" s="30"/>
      <c r="O99" s="30"/>
    </row>
    <row r="100" spans="1:15" s="36" customFormat="1" x14ac:dyDescent="0.25">
      <c r="A100" s="39"/>
      <c r="B100" s="32"/>
      <c r="C100" s="33"/>
      <c r="D100" s="30"/>
      <c r="E100" s="30"/>
      <c r="F100" s="30"/>
      <c r="G100" s="30"/>
      <c r="H100" s="30"/>
      <c r="I100" s="30"/>
      <c r="J100" s="30"/>
      <c r="K100" s="30"/>
      <c r="L100" s="30"/>
      <c r="M100" s="30"/>
      <c r="N100" s="30"/>
      <c r="O100" s="30"/>
    </row>
    <row r="101" spans="1:15" s="36" customFormat="1" x14ac:dyDescent="0.25">
      <c r="A101" s="39"/>
      <c r="B101" s="32"/>
      <c r="C101" s="33"/>
      <c r="D101" s="30"/>
      <c r="E101" s="30"/>
      <c r="F101" s="30"/>
      <c r="G101" s="30"/>
      <c r="H101" s="30"/>
      <c r="I101" s="30"/>
      <c r="J101" s="30"/>
      <c r="K101" s="30"/>
      <c r="L101" s="30"/>
      <c r="M101" s="30"/>
      <c r="N101" s="30"/>
      <c r="O101" s="30"/>
    </row>
    <row r="102" spans="1:15" s="36" customFormat="1" x14ac:dyDescent="0.25">
      <c r="A102" s="39"/>
      <c r="B102" s="32"/>
      <c r="C102" s="33"/>
      <c r="D102" s="30"/>
      <c r="E102" s="30"/>
      <c r="F102" s="30"/>
      <c r="G102" s="30"/>
      <c r="H102" s="30"/>
      <c r="I102" s="30"/>
      <c r="J102" s="30"/>
      <c r="K102" s="30"/>
      <c r="L102" s="30"/>
      <c r="M102" s="30"/>
      <c r="N102" s="30"/>
      <c r="O102" s="30"/>
    </row>
    <row r="103" spans="1:15" s="36" customFormat="1" x14ac:dyDescent="0.25">
      <c r="A103" s="39"/>
      <c r="B103" s="32"/>
      <c r="C103" s="33"/>
      <c r="D103" s="30"/>
      <c r="E103" s="30"/>
      <c r="F103" s="30"/>
      <c r="G103" s="30"/>
      <c r="H103" s="30"/>
      <c r="I103" s="30"/>
      <c r="J103" s="30"/>
      <c r="K103" s="30"/>
      <c r="L103" s="30"/>
      <c r="M103" s="30"/>
      <c r="N103" s="30"/>
      <c r="O103" s="30"/>
    </row>
  </sheetData>
  <mergeCells count="12">
    <mergeCell ref="B6:J6"/>
    <mergeCell ref="D5:G5"/>
    <mergeCell ref="I5:L5"/>
    <mergeCell ref="A47:A50"/>
    <mergeCell ref="A7:A11"/>
    <mergeCell ref="A35:A36"/>
    <mergeCell ref="A30:A34"/>
    <mergeCell ref="A37:A41"/>
    <mergeCell ref="A43:A46"/>
    <mergeCell ref="A23:A28"/>
    <mergeCell ref="A12:A16"/>
    <mergeCell ref="A17:A21"/>
  </mergeCells>
  <pageMargins left="0.25" right="0.25" top="0.75" bottom="0.75" header="0.3" footer="0.3"/>
  <pageSetup scale="51" orientation="portrait" r:id="rId1"/>
  <rowBreaks count="3" manualBreakCount="3">
    <brk id="17" max="16383" man="1"/>
    <brk id="22" max="16383" man="1"/>
    <brk id="29" max="16383" man="1"/>
  </row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09" id="{74BA75ED-6CB3-4967-9EFB-FDEACEB46AB5}">
            <xm:f>'CS Degree Plan'!$G$13</xm:f>
            <x14:dxf>
              <fill>
                <patternFill>
                  <bgColor theme="7" tint="0.59996337778862885"/>
                </patternFill>
              </fill>
            </x14:dxf>
          </x14:cfRule>
          <xm:sqref>L13</xm:sqref>
        </x14:conditionalFormatting>
        <x14:conditionalFormatting xmlns:xm="http://schemas.microsoft.com/office/excel/2006/main">
          <x14:cfRule type="expression" priority="131" id="{0C81DE8F-0024-4A80-B1CA-489CF452C795}">
            <xm:f>'CS Degree Plan'!$G$16</xm:f>
            <x14:dxf>
              <font>
                <color auto="1"/>
              </font>
              <fill>
                <patternFill>
                  <bgColor theme="7" tint="0.59996337778862885"/>
                </patternFill>
              </fill>
            </x14:dxf>
          </x14:cfRule>
          <xm:sqref>L12 H19</xm:sqref>
        </x14:conditionalFormatting>
        <x14:conditionalFormatting xmlns:xm="http://schemas.microsoft.com/office/excel/2006/main">
          <x14:cfRule type="expression" priority="132" id="{76187914-8616-45B0-859F-34F214E3430B}">
            <xm:f>'CS Degree Plan'!$G$19</xm:f>
            <x14:dxf>
              <font>
                <color auto="1"/>
              </font>
              <fill>
                <patternFill>
                  <bgColor theme="7" tint="0.59996337778862885"/>
                </patternFill>
              </fill>
            </x14:dxf>
          </x14:cfRule>
          <xm:sqref>J12 D24 F24 F32 F19</xm:sqref>
        </x14:conditionalFormatting>
        <x14:conditionalFormatting xmlns:xm="http://schemas.microsoft.com/office/excel/2006/main">
          <x14:cfRule type="expression" priority="129" id="{B78D2084-837D-4AD5-8F9E-9778F6962510}">
            <xm:f>'CS Degree Plan'!$G$20</xm:f>
            <x14:dxf>
              <font>
                <color auto="1"/>
              </font>
              <fill>
                <patternFill>
                  <bgColor theme="7" tint="0.59996337778862885"/>
                </patternFill>
              </fill>
            </x14:dxf>
          </x14:cfRule>
          <xm:sqref>H24 F25 F33</xm:sqref>
        </x14:conditionalFormatting>
        <x14:conditionalFormatting xmlns:xm="http://schemas.microsoft.com/office/excel/2006/main">
          <x14:cfRule type="expression" priority="122" id="{4AC0C2F0-CFB9-43AF-8627-C6321916A827}">
            <xm:f>'CS Degree Plan'!$G$25</xm:f>
            <x14:dxf>
              <font>
                <color auto="1"/>
              </font>
              <fill>
                <patternFill>
                  <bgColor theme="7" tint="0.59996337778862885"/>
                </patternFill>
              </fill>
            </x14:dxf>
          </x14:cfRule>
          <xm:sqref>J18</xm:sqref>
        </x14:conditionalFormatting>
        <x14:conditionalFormatting xmlns:xm="http://schemas.microsoft.com/office/excel/2006/main">
          <x14:cfRule type="expression" priority="121" id="{CC04B491-B335-4EA4-8651-76BD2FDD16B0}">
            <xm:f>'CS Degree Plan'!$G$28</xm:f>
            <x14:dxf>
              <font>
                <color auto="1"/>
              </font>
              <fill>
                <patternFill>
                  <bgColor theme="7" tint="0.59996337778862885"/>
                </patternFill>
              </fill>
            </x14:dxf>
          </x14:cfRule>
          <xm:sqref>D23</xm:sqref>
        </x14:conditionalFormatting>
        <x14:conditionalFormatting xmlns:xm="http://schemas.microsoft.com/office/excel/2006/main">
          <x14:cfRule type="expression" priority="120" id="{4ACBF82E-0B28-4F98-916A-6D3C2B1135DF}">
            <xm:f>'CS Degree Plan'!$G$29</xm:f>
            <x14:dxf>
              <font>
                <color auto="1"/>
              </font>
              <fill>
                <patternFill>
                  <bgColor theme="7" tint="0.59996337778862885"/>
                </patternFill>
              </fill>
            </x14:dxf>
          </x14:cfRule>
          <xm:sqref>F23 D44 B48 B39 D39</xm:sqref>
        </x14:conditionalFormatting>
        <x14:conditionalFormatting xmlns:xm="http://schemas.microsoft.com/office/excel/2006/main">
          <x14:cfRule type="expression" priority="119" id="{8BB70A61-A4EC-4F12-B33D-20AE62A6D7A3}">
            <xm:f>'CS Degree Plan'!$G$32</xm:f>
            <x14:dxf>
              <font>
                <color auto="1"/>
              </font>
              <fill>
                <patternFill>
                  <bgColor theme="7" tint="0.59996337778862885"/>
                </patternFill>
              </fill>
            </x14:dxf>
          </x14:cfRule>
          <xm:sqref>H30 B49</xm:sqref>
        </x14:conditionalFormatting>
        <x14:conditionalFormatting xmlns:xm="http://schemas.microsoft.com/office/excel/2006/main">
          <x14:cfRule type="expression" priority="117" id="{66341BBD-CA18-45FF-8292-34DBB37FFE78}">
            <xm:f>'CS Degree Plan'!$G$33</xm:f>
            <x14:dxf>
              <font>
                <color auto="1"/>
              </font>
              <fill>
                <patternFill>
                  <bgColor theme="7" tint="0.59996337778862885"/>
                </patternFill>
              </fill>
            </x14:dxf>
          </x14:cfRule>
          <xm:sqref>F30</xm:sqref>
        </x14:conditionalFormatting>
        <x14:conditionalFormatting xmlns:xm="http://schemas.microsoft.com/office/excel/2006/main">
          <x14:cfRule type="expression" priority="116" id="{91FAC0A7-682E-4A0A-80E2-F48744D97279}">
            <xm:f>'CS Degree Plan'!$G$34</xm:f>
            <x14:dxf>
              <font>
                <color auto="1"/>
              </font>
              <fill>
                <patternFill>
                  <bgColor theme="7" tint="0.59996337778862885"/>
                </patternFill>
              </fill>
            </x14:dxf>
          </x14:cfRule>
          <xm:sqref>D30</xm:sqref>
        </x14:conditionalFormatting>
        <x14:conditionalFormatting xmlns:xm="http://schemas.microsoft.com/office/excel/2006/main">
          <x14:cfRule type="expression" priority="115" id="{8432F930-CE91-4F4B-B5CD-D6713A961FCD}">
            <xm:f>'CS Degree Plan'!$G$35</xm:f>
            <x14:dxf>
              <font>
                <color auto="1"/>
              </font>
              <fill>
                <patternFill>
                  <bgColor theme="7" tint="0.59996337778862885"/>
                </patternFill>
              </fill>
            </x14:dxf>
          </x14:cfRule>
          <xm:sqref>B30</xm:sqref>
        </x14:conditionalFormatting>
        <x14:conditionalFormatting xmlns:xm="http://schemas.microsoft.com/office/excel/2006/main">
          <x14:cfRule type="expression" priority="113" id="{484B700B-B4A1-4516-841D-7CC376A57079}">
            <xm:f>'CS Degree Plan'!$G$37</xm:f>
            <x14:dxf>
              <font>
                <color auto="1"/>
              </font>
              <fill>
                <patternFill>
                  <bgColor theme="7" tint="0.59996337778862885"/>
                </patternFill>
              </fill>
            </x14:dxf>
          </x14:cfRule>
          <xm:sqref>D37</xm:sqref>
        </x14:conditionalFormatting>
        <x14:conditionalFormatting xmlns:xm="http://schemas.microsoft.com/office/excel/2006/main">
          <x14:cfRule type="expression" priority="112" id="{7C1DE5DB-90A2-4C9F-AEE2-71758AB7A415}">
            <xm:f>'CS Degree Plan'!$G$38</xm:f>
            <x14:dxf>
              <font>
                <color auto="1"/>
              </font>
              <fill>
                <patternFill>
                  <bgColor theme="7" tint="0.59996337778862885"/>
                </patternFill>
              </fill>
            </x14:dxf>
          </x14:cfRule>
          <xm:sqref>B37</xm:sqref>
        </x14:conditionalFormatting>
        <x14:conditionalFormatting xmlns:xm="http://schemas.microsoft.com/office/excel/2006/main">
          <x14:cfRule type="expression" priority="111" id="{D5DE3155-9FDE-4C6E-AEBC-0148AB27DC74}">
            <xm:f>'CS Degree Plan'!$G$39</xm:f>
            <x14:dxf>
              <font>
                <color auto="1"/>
              </font>
              <fill>
                <patternFill>
                  <bgColor theme="7" tint="0.59996337778862885"/>
                </patternFill>
              </fill>
            </x14:dxf>
          </x14:cfRule>
          <xm:sqref>B43</xm:sqref>
        </x14:conditionalFormatting>
        <x14:conditionalFormatting xmlns:xm="http://schemas.microsoft.com/office/excel/2006/main">
          <x14:cfRule type="expression" priority="110" id="{18CB347A-FB6B-4F63-A591-BF823B580EAC}">
            <xm:f>'CS Degree Plan'!$G$41</xm:f>
            <x14:dxf>
              <font>
                <color auto="1"/>
              </font>
              <fill>
                <patternFill>
                  <bgColor theme="7" tint="0.59996337778862885"/>
                </patternFill>
              </fill>
            </x14:dxf>
          </x14:cfRule>
          <xm:sqref>B47</xm:sqref>
        </x14:conditionalFormatting>
        <x14:conditionalFormatting xmlns:xm="http://schemas.microsoft.com/office/excel/2006/main">
          <x14:cfRule type="expression" priority="102" id="{8F2FE800-9C3C-41B8-8671-90A277FF2D9E}">
            <xm:f>'CS Degree Plan'!$G$45</xm:f>
            <x14:dxf>
              <font>
                <color auto="1"/>
              </font>
              <fill>
                <patternFill>
                  <bgColor theme="7" tint="0.59996337778862885"/>
                </patternFill>
              </fill>
            </x14:dxf>
          </x14:cfRule>
          <xm:sqref>F43</xm:sqref>
        </x14:conditionalFormatting>
        <x14:conditionalFormatting xmlns:xm="http://schemas.microsoft.com/office/excel/2006/main">
          <x14:cfRule type="expression" priority="85" id="{AD404316-D18B-4586-9EAA-5350FA0C79DF}">
            <xm:f>'CS Degree Plan'!$G$50</xm:f>
            <x14:dxf>
              <font>
                <color auto="1"/>
              </font>
              <fill>
                <patternFill>
                  <bgColor theme="7" tint="0.59996337778862885"/>
                </patternFill>
              </fill>
            </x14:dxf>
          </x14:cfRule>
          <xm:sqref>B24</xm:sqref>
        </x14:conditionalFormatting>
        <x14:conditionalFormatting xmlns:xm="http://schemas.microsoft.com/office/excel/2006/main">
          <x14:cfRule type="expression" priority="73" id="{4DD5A2C4-977D-42A7-9AC9-E3CB27FC2EB6}">
            <xm:f>'CS Degree Plan'!$G$60</xm:f>
            <x14:dxf>
              <font>
                <color auto="1"/>
              </font>
              <fill>
                <patternFill>
                  <bgColor theme="7" tint="0.59996337778862885"/>
                </patternFill>
              </fill>
            </x14:dxf>
          </x14:cfRule>
          <xm:sqref>H37</xm:sqref>
        </x14:conditionalFormatting>
        <x14:conditionalFormatting xmlns:xm="http://schemas.microsoft.com/office/excel/2006/main">
          <x14:cfRule type="expression" priority="72" id="{6C7B7932-7BCE-4D58-8046-C29B028FA530}">
            <xm:f>'CS Degree Plan'!$G$61</xm:f>
            <x14:dxf>
              <font>
                <color auto="1"/>
              </font>
              <fill>
                <patternFill>
                  <bgColor theme="7" tint="0.59996337778862885"/>
                </patternFill>
              </fill>
            </x14:dxf>
          </x14:cfRule>
          <xm:sqref>F47</xm:sqref>
        </x14:conditionalFormatting>
        <x14:conditionalFormatting xmlns:xm="http://schemas.microsoft.com/office/excel/2006/main">
          <x14:cfRule type="expression" priority="61" id="{3AF02D35-7210-4CD8-98D5-FBB61759EF02}">
            <xm:f>'CS Degree Plan'!$G$56</xm:f>
            <x14:dxf>
              <font>
                <color auto="1"/>
              </font>
              <fill>
                <patternFill>
                  <bgColor theme="7" tint="0.59996337778862885"/>
                </patternFill>
              </fill>
            </x14:dxf>
          </x14:cfRule>
          <xm:sqref>N30</xm:sqref>
        </x14:conditionalFormatting>
        <x14:conditionalFormatting xmlns:xm="http://schemas.microsoft.com/office/excel/2006/main">
          <x14:cfRule type="expression" priority="60" id="{C27988F7-15C6-4B87-8EF7-45765DE4EE4D}">
            <xm:f>'CS Degree Plan'!$G$57</xm:f>
            <x14:dxf>
              <font>
                <color auto="1"/>
              </font>
              <fill>
                <patternFill>
                  <bgColor theme="7" tint="0.59996337778862885"/>
                </patternFill>
              </fill>
            </x14:dxf>
          </x14:cfRule>
          <xm:sqref>N37</xm:sqref>
        </x14:conditionalFormatting>
        <x14:conditionalFormatting xmlns:xm="http://schemas.microsoft.com/office/excel/2006/main">
          <x14:cfRule type="expression" priority="59" id="{DD7F81BF-1E44-4411-8597-D18155F0F71A}">
            <xm:f>'CS Degree Plan'!$G$55</xm:f>
            <x14:dxf>
              <font>
                <color auto="1"/>
              </font>
              <fill>
                <patternFill>
                  <bgColor theme="7" tint="0.59996337778862885"/>
                </patternFill>
              </fill>
            </x14:dxf>
          </x14:cfRule>
          <xm:sqref>L30</xm:sqref>
        </x14:conditionalFormatting>
        <x14:conditionalFormatting xmlns:xm="http://schemas.microsoft.com/office/excel/2006/main">
          <x14:cfRule type="expression" priority="58" id="{3ED4EE4C-03F2-4ECD-9432-5FE9CA22C08B}">
            <xm:f>'CS Degree Plan'!$G$53</xm:f>
            <x14:dxf>
              <font>
                <color auto="1"/>
              </font>
              <fill>
                <patternFill>
                  <bgColor theme="7" tint="0.59996337778862885"/>
                </patternFill>
              </fill>
            </x14:dxf>
          </x14:cfRule>
          <xm:sqref>N23</xm:sqref>
        </x14:conditionalFormatting>
        <x14:conditionalFormatting xmlns:xm="http://schemas.microsoft.com/office/excel/2006/main">
          <x14:cfRule type="expression" priority="57" id="{8226658C-5181-4A2C-BD94-BC32D6FFDB32}">
            <xm:f>'CS Degree Plan'!$G$54</xm:f>
            <x14:dxf>
              <font>
                <color auto="1"/>
              </font>
              <fill>
                <patternFill>
                  <bgColor theme="7" tint="0.59996337778862885"/>
                </patternFill>
              </fill>
            </x14:dxf>
          </x14:cfRule>
          <xm:sqref>N18</xm:sqref>
        </x14:conditionalFormatting>
        <x14:conditionalFormatting xmlns:xm="http://schemas.microsoft.com/office/excel/2006/main">
          <x14:cfRule type="expression" priority="56" id="{01CE03D0-767D-4FEC-AB99-D3B445F577B1}">
            <xm:f>'CS Degree Plan'!$G$52</xm:f>
            <x14:dxf>
              <font>
                <color auto="1"/>
              </font>
              <fill>
                <patternFill>
                  <bgColor theme="7" tint="0.59996337778862885"/>
                </patternFill>
              </fill>
            </x14:dxf>
          </x14:cfRule>
          <xm:sqref>N12</xm:sqref>
        </x14:conditionalFormatting>
        <x14:conditionalFormatting xmlns:xm="http://schemas.microsoft.com/office/excel/2006/main">
          <x14:cfRule type="expression" priority="55" id="{311E668E-324D-420F-BEFD-040D5FF5AF8A}">
            <xm:f>'CS Degree Plan'!$G$50</xm:f>
            <x14:dxf>
              <font>
                <color auto="1"/>
              </font>
              <fill>
                <patternFill>
                  <bgColor theme="7" tint="0.59996337778862885"/>
                </patternFill>
              </fill>
            </x14:dxf>
          </x14:cfRule>
          <xm:sqref>L7</xm:sqref>
        </x14:conditionalFormatting>
        <x14:conditionalFormatting xmlns:xm="http://schemas.microsoft.com/office/excel/2006/main">
          <x14:cfRule type="expression" priority="54" id="{4D0D60BD-5945-481E-9B61-FF7D36DB7406}">
            <xm:f>'CS Degree Plan'!$G$51</xm:f>
            <x14:dxf>
              <font>
                <color auto="1"/>
              </font>
              <fill>
                <patternFill>
                  <bgColor theme="7" tint="0.59996337778862885"/>
                </patternFill>
              </fill>
            </x14:dxf>
          </x14:cfRule>
          <xm:sqref>N7 F39</xm:sqref>
        </x14:conditionalFormatting>
        <x14:conditionalFormatting xmlns:xm="http://schemas.microsoft.com/office/excel/2006/main">
          <x14:cfRule type="expression" priority="53" id="{29A01F43-10C5-496A-9238-8E831B0AB8C1}">
            <xm:f>'CS Degree Plan'!$G$46</xm:f>
            <x14:dxf>
              <font>
                <color auto="1"/>
              </font>
              <fill>
                <patternFill>
                  <bgColor theme="7" tint="0.59996337778862885"/>
                </patternFill>
              </fill>
            </x14:dxf>
          </x14:cfRule>
          <xm:sqref>H43</xm:sqref>
        </x14:conditionalFormatting>
        <x14:conditionalFormatting xmlns:xm="http://schemas.microsoft.com/office/excel/2006/main">
          <x14:cfRule type="expression" priority="52" id="{CF48A897-FE89-40FC-BA13-773988C9F608}">
            <xm:f>'CS Degree Plan'!$G$47</xm:f>
            <x14:dxf>
              <font>
                <color auto="1"/>
              </font>
              <fill>
                <patternFill>
                  <bgColor theme="7" tint="0.59996337778862885"/>
                </patternFill>
              </fill>
            </x14:dxf>
          </x14:cfRule>
          <xm:sqref>D47</xm:sqref>
        </x14:conditionalFormatting>
        <x14:conditionalFormatting xmlns:xm="http://schemas.microsoft.com/office/excel/2006/main">
          <x14:cfRule type="expression" priority="51" id="{62E3985F-D842-4BF0-9433-668F9629EF69}">
            <xm:f>'CS Degree Plan'!$G$62</xm:f>
            <x14:dxf>
              <font>
                <color auto="1"/>
              </font>
              <fill>
                <patternFill>
                  <bgColor theme="7" tint="0.59996337778862885"/>
                </patternFill>
              </fill>
            </x14:dxf>
          </x14:cfRule>
          <xm:sqref>H47</xm:sqref>
        </x14:conditionalFormatting>
        <x14:conditionalFormatting xmlns:xm="http://schemas.microsoft.com/office/excel/2006/main">
          <x14:cfRule type="expression" priority="50" id="{A77B31B5-B5E7-4935-B78D-10BE63A90341}">
            <xm:f>'CS Degree Plan'!$G$63</xm:f>
            <x14:dxf>
              <font>
                <color auto="1"/>
              </font>
              <fill>
                <patternFill>
                  <bgColor theme="7" tint="0.59996337778862885"/>
                </patternFill>
              </fill>
            </x14:dxf>
          </x14:cfRule>
          <xm:sqref>J43</xm:sqref>
        </x14:conditionalFormatting>
        <x14:conditionalFormatting xmlns:xm="http://schemas.microsoft.com/office/excel/2006/main">
          <x14:cfRule type="expression" priority="44" id="{7FDB8C99-D223-4E45-B0DD-A2FAF952FF29}">
            <xm:f>'CS Degree Plan'!$G$19</xm:f>
            <x14:dxf>
              <fill>
                <patternFill>
                  <bgColor theme="7" tint="0.59996337778862885"/>
                </patternFill>
              </fill>
            </x14:dxf>
          </x14:cfRule>
          <xm:sqref>B38</xm:sqref>
        </x14:conditionalFormatting>
        <x14:conditionalFormatting xmlns:xm="http://schemas.microsoft.com/office/excel/2006/main">
          <x14:cfRule type="expression" priority="43" id="{D6385016-FF11-43E7-AB6E-BC1D51F77EA3}">
            <xm:f>'CS Degree Plan'!$G$16</xm:f>
            <x14:dxf>
              <font>
                <color auto="1"/>
              </font>
              <fill>
                <patternFill>
                  <bgColor theme="7" tint="0.59996337778862885"/>
                </patternFill>
              </fill>
            </x14:dxf>
          </x14:cfRule>
          <xm:sqref>F20</xm:sqref>
        </x14:conditionalFormatting>
        <x14:conditionalFormatting xmlns:xm="http://schemas.microsoft.com/office/excel/2006/main">
          <x14:cfRule type="expression" priority="41" id="{CB268813-B9C6-49E2-AD20-AB1B20240C57}">
            <xm:f>'CS Degree Plan'!$G$20</xm:f>
            <x14:dxf>
              <font>
                <color auto="1"/>
              </font>
              <fill>
                <patternFill>
                  <bgColor theme="7" tint="0.59996337778862885"/>
                </patternFill>
              </fill>
            </x14:dxf>
          </x14:cfRule>
          <xm:sqref>H18</xm:sqref>
        </x14:conditionalFormatting>
        <x14:conditionalFormatting xmlns:xm="http://schemas.microsoft.com/office/excel/2006/main">
          <x14:cfRule type="expression" priority="40" id="{873D411E-2E4D-4A2C-BD29-95A7E68313DB}">
            <xm:f>'CS Degree Plan'!$G$7</xm:f>
            <x14:dxf>
              <fill>
                <patternFill>
                  <bgColor theme="7" tint="0.59996337778862885"/>
                </patternFill>
              </fill>
            </x14:dxf>
          </x14:cfRule>
          <xm:sqref>B7</xm:sqref>
        </x14:conditionalFormatting>
        <x14:conditionalFormatting xmlns:xm="http://schemas.microsoft.com/office/excel/2006/main">
          <x14:cfRule type="expression" priority="35" id="{6C429F01-14F6-45FF-8A6A-F8F1E148DA64}">
            <xm:f>'CS Degree Plan'!$G$8</xm:f>
            <x14:dxf>
              <fill>
                <patternFill>
                  <bgColor theme="7" tint="0.59996337778862885"/>
                </patternFill>
              </fill>
            </x14:dxf>
          </x14:cfRule>
          <xm:sqref>D7</xm:sqref>
        </x14:conditionalFormatting>
        <x14:conditionalFormatting xmlns:xm="http://schemas.microsoft.com/office/excel/2006/main">
          <x14:cfRule type="expression" priority="34" id="{7D3BD834-7FEB-4620-9057-2F3A2B10E165}">
            <xm:f>'CS Degree Plan'!$G$13</xm:f>
            <x14:dxf>
              <fill>
                <patternFill>
                  <bgColor theme="7" tint="0.59996337778862885"/>
                </patternFill>
              </fill>
            </x14:dxf>
          </x14:cfRule>
          <xm:sqref>J7</xm:sqref>
        </x14:conditionalFormatting>
        <x14:conditionalFormatting xmlns:xm="http://schemas.microsoft.com/office/excel/2006/main">
          <x14:cfRule type="expression" priority="324" id="{05DF689B-8779-4D88-A77A-0A37FF18AA76}">
            <xm:f>'CS Degree Plan'!#REF!</xm:f>
            <x14:dxf>
              <font>
                <color auto="1"/>
              </font>
              <fill>
                <patternFill>
                  <bgColor theme="7" tint="0.59996337778862885"/>
                </patternFill>
              </fill>
            </x14:dxf>
          </x14:cfRule>
          <xm:sqref>D24</xm:sqref>
        </x14:conditionalFormatting>
        <x14:conditionalFormatting xmlns:xm="http://schemas.microsoft.com/office/excel/2006/main">
          <x14:cfRule type="expression" priority="33" id="{B6BE42AF-50B2-4DA0-8718-15033FA6BAD4}">
            <xm:f>'CS Degree Plan'!$G$19</xm:f>
            <x14:dxf>
              <fill>
                <patternFill>
                  <bgColor theme="7" tint="0.59996337778862885"/>
                </patternFill>
              </fill>
            </x14:dxf>
          </x14:cfRule>
          <xm:sqref>B44</xm:sqref>
        </x14:conditionalFormatting>
        <x14:conditionalFormatting xmlns:xm="http://schemas.microsoft.com/office/excel/2006/main">
          <x14:cfRule type="expression" priority="31" id="{778CC423-493A-4A94-931F-6B31AADF6A0E}">
            <xm:f>'CS Degree Plan'!$G$21</xm:f>
            <x14:dxf>
              <fill>
                <patternFill>
                  <bgColor theme="7" tint="0.59996337778862885"/>
                </patternFill>
              </fill>
            </x14:dxf>
          </x14:cfRule>
          <xm:sqref>H18 F25 H24</xm:sqref>
        </x14:conditionalFormatting>
        <x14:conditionalFormatting xmlns:xm="http://schemas.microsoft.com/office/excel/2006/main">
          <x14:cfRule type="expression" priority="30" id="{FB7AFEA9-96D3-463A-95C2-F364C7A0615C}">
            <xm:f>'CS Degree Plan'!$G$25</xm:f>
            <x14:dxf>
              <fill>
                <patternFill>
                  <bgColor theme="7" tint="0.59996337778862885"/>
                </patternFill>
              </fill>
            </x14:dxf>
          </x14:cfRule>
          <xm:sqref>D26</xm:sqref>
        </x14:conditionalFormatting>
        <x14:conditionalFormatting xmlns:xm="http://schemas.microsoft.com/office/excel/2006/main">
          <x14:cfRule type="expression" priority="29" id="{54E85D3A-1FFD-47CE-A498-FF7401B94B93}">
            <xm:f>'CS Degree Plan'!$G$21</xm:f>
            <x14:dxf>
              <fill>
                <patternFill>
                  <bgColor theme="7" tint="0.59996337778862885"/>
                </patternFill>
              </fill>
            </x14:dxf>
          </x14:cfRule>
          <xm:sqref>F33</xm:sqref>
        </x14:conditionalFormatting>
        <x14:conditionalFormatting xmlns:xm="http://schemas.microsoft.com/office/excel/2006/main">
          <x14:cfRule type="expression" priority="24" id="{7EF82035-D944-401D-9CF7-75E6B3D34553}">
            <xm:f>'CS Degree Plan'!$G$34</xm:f>
            <x14:dxf>
              <fill>
                <patternFill>
                  <bgColor theme="7" tint="0.59996337778862885"/>
                </patternFill>
              </fill>
            </x14:dxf>
          </x14:cfRule>
          <xm:sqref>B31</xm:sqref>
        </x14:conditionalFormatting>
        <x14:conditionalFormatting xmlns:xm="http://schemas.microsoft.com/office/excel/2006/main">
          <x14:cfRule type="expression" priority="12" id="{21013DFD-9495-47A5-875C-8771966683E1}">
            <xm:f>'CS Degree Plan'!$G$44</xm:f>
            <x14:dxf>
              <fill>
                <patternFill>
                  <bgColor theme="7" tint="0.59996337778862885"/>
                </patternFill>
              </fill>
            </x14:dxf>
          </x14:cfRule>
          <xm:sqref>J37</xm:sqref>
        </x14:conditionalFormatting>
        <x14:conditionalFormatting xmlns:xm="http://schemas.microsoft.com/office/excel/2006/main">
          <x14:cfRule type="expression" priority="325" id="{4AAB3F97-51F9-40C8-A169-B39AD00BEA76}">
            <xm:f>'CS Degree Plan'!$G$11</xm:f>
            <x14:dxf>
              <fill>
                <patternFill>
                  <bgColor theme="7" tint="0.59996337778862885"/>
                </patternFill>
              </fill>
            </x14:dxf>
          </x14:cfRule>
          <xm:sqref>F13 D13 J19 F7</xm:sqref>
        </x14:conditionalFormatting>
        <x14:conditionalFormatting xmlns:xm="http://schemas.microsoft.com/office/excel/2006/main">
          <x14:cfRule type="expression" priority="329" id="{38DAEEF6-D384-47D5-A1B2-6BE80981AB55}">
            <xm:f>'CS Degree Plan'!$K$11</xm:f>
            <x14:dxf>
              <fill>
                <patternFill>
                  <bgColor theme="7" tint="0.59996337778862885"/>
                </patternFill>
              </fill>
            </x14:dxf>
          </x14:cfRule>
          <xm:sqref>F8</xm:sqref>
        </x14:conditionalFormatting>
        <x14:conditionalFormatting xmlns:xm="http://schemas.microsoft.com/office/excel/2006/main">
          <x14:cfRule type="expression" priority="330" id="{609CC8D7-2322-46E9-A992-AB5A572438E3}">
            <xm:f>'CS Degree Plan'!$G$11</xm:f>
            <x14:dxf>
              <fill>
                <patternFill>
                  <bgColor theme="7" tint="0.59996337778862885"/>
                </patternFill>
              </fill>
            </x14:dxf>
          </x14:cfRule>
          <x14:cfRule type="expression" priority="331" id="{0C88F5EA-34AC-4DED-A4DB-6EA100A5CA99}">
            <xm:f>'CS Degree Plan'!$G$12</xm:f>
            <x14:dxf>
              <fill>
                <patternFill>
                  <bgColor theme="7" tint="0.59996337778862885"/>
                </patternFill>
              </fill>
            </x14:dxf>
          </x14:cfRule>
          <xm:sqref>J13</xm:sqref>
        </x14:conditionalFormatting>
        <x14:conditionalFormatting xmlns:xm="http://schemas.microsoft.com/office/excel/2006/main">
          <x14:cfRule type="expression" priority="332" id="{2AD45465-85B6-41BD-BE22-F7A97DFA2539}">
            <xm:f>'CS Degree Plan'!$G$12</xm:f>
            <x14:dxf>
              <fill>
                <patternFill>
                  <bgColor theme="7" tint="0.59996337778862885"/>
                </patternFill>
              </fill>
            </x14:dxf>
          </x14:cfRule>
          <xm:sqref>H7 J13 H13 D13</xm:sqref>
        </x14:conditionalFormatting>
        <x14:conditionalFormatting xmlns:xm="http://schemas.microsoft.com/office/excel/2006/main">
          <x14:cfRule type="expression" priority="334" id="{60E2CBB9-E3B2-410F-8730-26417522885E}">
            <xm:f>'CS Degree Plan'!$K$12</xm:f>
            <x14:dxf>
              <fill>
                <patternFill>
                  <bgColor theme="7" tint="0.59996337778862885"/>
                </patternFill>
              </fill>
            </x14:dxf>
          </x14:cfRule>
          <xm:sqref>H8</xm:sqref>
        </x14:conditionalFormatting>
        <x14:conditionalFormatting xmlns:xm="http://schemas.microsoft.com/office/excel/2006/main">
          <x14:cfRule type="expression" priority="335" id="{985265EA-A5C2-4337-A88F-A48322F13133}">
            <xm:f>'CS Degree Plan'!$G$14</xm:f>
            <x14:dxf>
              <font>
                <color auto="1"/>
              </font>
              <fill>
                <patternFill>
                  <bgColor theme="7" tint="0.59996337778862885"/>
                </patternFill>
              </fill>
            </x14:dxf>
          </x14:cfRule>
          <xm:sqref>F12 D20 D25</xm:sqref>
        </x14:conditionalFormatting>
        <x14:conditionalFormatting xmlns:xm="http://schemas.microsoft.com/office/excel/2006/main">
          <x14:cfRule type="expression" priority="338" id="{00C83FF9-28D1-4F9B-93FE-9F91028B01B1}">
            <xm:f>'CS Degree Plan'!$G$15</xm:f>
            <x14:dxf>
              <fill>
                <patternFill>
                  <bgColor theme="7" tint="0.59996337778862885"/>
                </patternFill>
              </fill>
            </x14:dxf>
          </x14:cfRule>
          <x14:cfRule type="expression" priority="339" id="{0B80C03D-EB76-4C41-AD7A-5B1635013E89}">
            <xm:f>'CS Degree Plan'!$G$14</xm:f>
            <x14:dxf>
              <fill>
                <patternFill>
                  <bgColor theme="7" tint="0.59996337778862885"/>
                </patternFill>
              </fill>
            </x14:dxf>
          </x14:cfRule>
          <xm:sqref>D14</xm:sqref>
        </x14:conditionalFormatting>
        <x14:conditionalFormatting xmlns:xm="http://schemas.microsoft.com/office/excel/2006/main">
          <x14:cfRule type="expression" priority="340" id="{48A7E36B-E4EE-47AB-B4F4-12C4CC536E00}">
            <xm:f>'CS Degree Plan'!$G$15</xm:f>
            <x14:dxf>
              <font>
                <color auto="1"/>
              </font>
              <fill>
                <patternFill>
                  <bgColor theme="7" tint="0.59996337778862885"/>
                </patternFill>
              </fill>
            </x14:dxf>
          </x14:cfRule>
          <xm:sqref>H12 D25 D20</xm:sqref>
        </x14:conditionalFormatting>
        <x14:conditionalFormatting xmlns:xm="http://schemas.microsoft.com/office/excel/2006/main">
          <x14:cfRule type="expression" priority="344" id="{7F2B662F-B945-4648-8F8B-898D3B2603C8}">
            <xm:f>'CS Degree Plan'!$G$17</xm:f>
            <x14:dxf>
              <font>
                <color auto="1"/>
              </font>
              <fill>
                <patternFill>
                  <bgColor theme="7" tint="0.59996337778862885"/>
                </patternFill>
              </fill>
            </x14:dxf>
          </x14:cfRule>
          <xm:sqref>D12 D19</xm:sqref>
        </x14:conditionalFormatting>
        <x14:conditionalFormatting xmlns:xm="http://schemas.microsoft.com/office/excel/2006/main">
          <x14:cfRule type="expression" priority="346" id="{7DAC9045-5440-4D0E-B5D1-D60403A00FF4}">
            <xm:f>'CS Degree Plan'!$G$18</xm:f>
            <x14:dxf>
              <font>
                <color auto="1"/>
              </font>
              <fill>
                <patternFill>
                  <bgColor theme="7" tint="0.59996337778862885"/>
                </patternFill>
              </fill>
            </x14:dxf>
          </x14:cfRule>
          <xm:sqref>B12</xm:sqref>
        </x14:conditionalFormatting>
        <x14:conditionalFormatting xmlns:xm="http://schemas.microsoft.com/office/excel/2006/main">
          <x14:cfRule type="expression" priority="347" id="{E7A309A3-15E5-4FEE-9433-4335C349231F}">
            <xm:f>'CS Degree Plan'!$G$18</xm:f>
            <x14:dxf>
              <fill>
                <patternFill>
                  <bgColor theme="7" tint="0.59996337778862885"/>
                </patternFill>
              </fill>
            </x14:dxf>
          </x14:cfRule>
          <xm:sqref>D15</xm:sqref>
        </x14:conditionalFormatting>
        <x14:conditionalFormatting xmlns:xm="http://schemas.microsoft.com/office/excel/2006/main">
          <x14:cfRule type="expression" priority="348" id="{DA88E76A-E8FA-421B-9789-0842EC8D8350}">
            <xm:f>'CS Degree Plan'!$G$17</xm:f>
            <x14:dxf>
              <fill>
                <patternFill>
                  <bgColor theme="7" tint="0.59996337778862885"/>
                </patternFill>
              </fill>
            </x14:dxf>
          </x14:cfRule>
          <xm:sqref>B13</xm:sqref>
        </x14:conditionalFormatting>
        <x14:conditionalFormatting xmlns:xm="http://schemas.microsoft.com/office/excel/2006/main">
          <x14:cfRule type="expression" priority="349" id="{95DD7384-BB6E-408F-9A53-376FB2594EE0}">
            <xm:f>'CS Degree Plan'!$G$24</xm:f>
            <x14:dxf>
              <font>
                <color auto="1"/>
              </font>
              <fill>
                <patternFill>
                  <bgColor theme="7" tint="0.59996337778862885"/>
                </patternFill>
              </fill>
            </x14:dxf>
          </x14:cfRule>
          <xm:sqref>B18</xm:sqref>
        </x14:conditionalFormatting>
        <x14:conditionalFormatting xmlns:xm="http://schemas.microsoft.com/office/excel/2006/main">
          <x14:cfRule type="expression" priority="350" id="{2DEB9A39-3651-4B20-86D6-3E1576138F7F}">
            <xm:f>'CS Degree Plan'!$G$23</xm:f>
            <x14:dxf>
              <font>
                <color auto="1"/>
              </font>
              <fill>
                <patternFill>
                  <bgColor theme="7" tint="0.59996337778862885"/>
                </patternFill>
              </fill>
            </x14:dxf>
          </x14:cfRule>
          <xm:sqref>D18 D31 B19</xm:sqref>
        </x14:conditionalFormatting>
        <x14:conditionalFormatting xmlns:xm="http://schemas.microsoft.com/office/excel/2006/main">
          <x14:cfRule type="expression" priority="353" id="{DA4321E6-977B-46D0-9D05-6F677D6B480F}">
            <xm:f>'CS Degree Plan'!$G$24</xm:f>
            <x14:dxf>
              <fill>
                <patternFill>
                  <bgColor theme="7" tint="0.59996337778862885"/>
                </patternFill>
              </fill>
            </x14:dxf>
          </x14:cfRule>
          <xm:sqref>D21</xm:sqref>
        </x14:conditionalFormatting>
        <x14:conditionalFormatting xmlns:xm="http://schemas.microsoft.com/office/excel/2006/main">
          <x14:cfRule type="expression" priority="354" id="{8740C527-37D4-4D52-873C-A56A419AB79A}">
            <xm:f>'CS Degree Plan'!$G$22</xm:f>
            <x14:dxf>
              <font>
                <color auto="1"/>
              </font>
              <fill>
                <patternFill>
                  <bgColor theme="7" tint="0.59996337778862885"/>
                </patternFill>
              </fill>
            </x14:dxf>
          </x14:cfRule>
          <xm:sqref>F31 D32 D38 F18</xm:sqref>
        </x14:conditionalFormatting>
        <x14:conditionalFormatting xmlns:xm="http://schemas.microsoft.com/office/excel/2006/main">
          <x14:cfRule type="expression" priority="355" id="{E95464C4-C09A-434C-A472-BA2F1AFAF655}">
            <xm:f>'CS Degree Plan'!$G$30</xm:f>
            <x14:dxf>
              <font>
                <color auto="1"/>
              </font>
              <fill>
                <patternFill>
                  <bgColor theme="7" tint="0.59996337778862885"/>
                </patternFill>
              </fill>
            </x14:dxf>
          </x14:cfRule>
          <xm:sqref>H23 D40</xm:sqref>
        </x14:conditionalFormatting>
        <x14:conditionalFormatting xmlns:xm="http://schemas.microsoft.com/office/excel/2006/main">
          <x14:cfRule type="expression" priority="358" id="{FCD82A5F-7094-4678-9D98-AE1F9D376859}">
            <xm:f>'CS Degree Plan'!$G$31</xm:f>
            <x14:dxf>
              <fill>
                <patternFill>
                  <bgColor theme="7" tint="0.59996337778862885"/>
                </patternFill>
              </fill>
            </x14:dxf>
          </x14:cfRule>
          <xm:sqref>B23 F38</xm:sqref>
        </x14:conditionalFormatting>
        <x14:conditionalFormatting xmlns:xm="http://schemas.microsoft.com/office/excel/2006/main">
          <x14:cfRule type="expression" priority="359" id="{EE47933A-C8FE-405F-AC50-11BD12B1B366}">
            <xm:f>'CS Degree Plan'!$G$36</xm:f>
            <x14:dxf>
              <font>
                <color auto="1"/>
              </font>
              <fill>
                <patternFill>
                  <bgColor theme="7" tint="0.59996337778862885"/>
                </patternFill>
              </fill>
            </x14:dxf>
          </x14:cfRule>
          <xm:sqref>F37</xm:sqref>
        </x14:conditionalFormatting>
        <x14:conditionalFormatting xmlns:xm="http://schemas.microsoft.com/office/excel/2006/main">
          <x14:cfRule type="expression" priority="362" id="{84952976-6BD7-4A5C-B3BE-70D78EE64070}">
            <xm:f>'CS Degree Plan'!$G$40</xm:f>
            <x14:dxf>
              <font>
                <color auto="1"/>
              </font>
              <fill>
                <patternFill>
                  <bgColor theme="7" tint="0.59996337778862885"/>
                </patternFill>
              </fill>
            </x14:dxf>
          </x14:cfRule>
          <xm:sqref>D43</xm:sqref>
        </x14:conditionalFormatting>
        <x14:conditionalFormatting xmlns:xm="http://schemas.microsoft.com/office/excel/2006/main">
          <x14:cfRule type="expression" priority="2" id="{0CE3AF84-7C80-47BC-8A6B-22D375F984BF}">
            <xm:f>'CS Degree Plan'!$G$19</xm:f>
            <x14:dxf>
              <font>
                <color auto="1"/>
              </font>
              <fill>
                <patternFill>
                  <bgColor theme="7" tint="0.59996337778862885"/>
                </patternFill>
              </fill>
            </x14:dxf>
          </x14:cfRule>
          <xm:sqref>F39</xm:sqref>
        </x14:conditionalFormatting>
        <x14:conditionalFormatting xmlns:xm="http://schemas.microsoft.com/office/excel/2006/main">
          <x14:cfRule type="expression" priority="1" id="{F47354B0-7168-4C9D-8979-F14ACD38628E}">
            <xm:f>'CS Degree Plan'!$G$31</xm:f>
            <x14:dxf>
              <fill>
                <patternFill>
                  <bgColor theme="7" tint="0.59996337778862885"/>
                </patternFill>
              </fill>
            </x14:dxf>
          </x14:cfRule>
          <xm:sqref>H31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3C1BB-6D86-4190-BB64-B980EA1E8995}">
  <dimension ref="B1:H42"/>
  <sheetViews>
    <sheetView workbookViewId="0">
      <selection activeCell="K11" sqref="K11"/>
    </sheetView>
  </sheetViews>
  <sheetFormatPr defaultRowHeight="15" x14ac:dyDescent="0.25"/>
  <cols>
    <col min="2" max="2" width="13.140625" customWidth="1"/>
    <col min="3" max="3" width="16.140625" customWidth="1"/>
    <col min="5" max="5" width="27.140625" customWidth="1"/>
    <col min="6" max="6" width="12.7109375" customWidth="1"/>
    <col min="7" max="7" width="13.7109375" customWidth="1"/>
    <col min="8" max="8" width="12.7109375" customWidth="1"/>
  </cols>
  <sheetData>
    <row r="1" spans="2:8" ht="36.75" customHeight="1" x14ac:dyDescent="0.25">
      <c r="B1" s="217" t="s">
        <v>525</v>
      </c>
      <c r="C1" s="218"/>
      <c r="D1" s="218"/>
      <c r="E1" s="218"/>
      <c r="F1" s="218"/>
      <c r="G1" s="218"/>
      <c r="H1" s="218"/>
    </row>
    <row r="2" spans="2:8" x14ac:dyDescent="0.25">
      <c r="B2" s="189" t="s">
        <v>526</v>
      </c>
      <c r="C2" s="219"/>
      <c r="D2" s="219"/>
      <c r="E2" s="219"/>
      <c r="F2" s="189" t="s">
        <v>527</v>
      </c>
      <c r="G2" s="219"/>
      <c r="H2" s="219"/>
    </row>
    <row r="4" spans="2:8" x14ac:dyDescent="0.25">
      <c r="C4" s="189" t="s">
        <v>528</v>
      </c>
      <c r="D4" s="219"/>
      <c r="E4" s="219"/>
      <c r="F4" s="219"/>
      <c r="G4" s="219"/>
    </row>
    <row r="6" spans="2:8" ht="15.75" thickBot="1" x14ac:dyDescent="0.3">
      <c r="B6" s="176" t="s">
        <v>529</v>
      </c>
    </row>
    <row r="7" spans="2:8" x14ac:dyDescent="0.25">
      <c r="B7" s="220"/>
      <c r="C7" s="221"/>
      <c r="D7" s="221"/>
      <c r="E7" s="221"/>
      <c r="F7" s="221"/>
      <c r="G7" s="221"/>
      <c r="H7" s="222"/>
    </row>
    <row r="8" spans="2:8" x14ac:dyDescent="0.25">
      <c r="B8" s="223"/>
      <c r="C8" s="224"/>
      <c r="D8" s="224"/>
      <c r="E8" s="224"/>
      <c r="F8" s="224"/>
      <c r="G8" s="224"/>
      <c r="H8" s="225"/>
    </row>
    <row r="9" spans="2:8" x14ac:dyDescent="0.25">
      <c r="B9" s="223"/>
      <c r="C9" s="224"/>
      <c r="D9" s="224"/>
      <c r="E9" s="224"/>
      <c r="F9" s="224"/>
      <c r="G9" s="224"/>
      <c r="H9" s="225"/>
    </row>
    <row r="10" spans="2:8" x14ac:dyDescent="0.25">
      <c r="B10" s="223"/>
      <c r="C10" s="224"/>
      <c r="D10" s="224"/>
      <c r="E10" s="224"/>
      <c r="F10" s="224"/>
      <c r="G10" s="224"/>
      <c r="H10" s="225"/>
    </row>
    <row r="11" spans="2:8" x14ac:dyDescent="0.25">
      <c r="B11" s="223"/>
      <c r="C11" s="224"/>
      <c r="D11" s="224"/>
      <c r="E11" s="224"/>
      <c r="F11" s="224"/>
      <c r="G11" s="224"/>
      <c r="H11" s="225"/>
    </row>
    <row r="12" spans="2:8" x14ac:dyDescent="0.25">
      <c r="B12" s="223"/>
      <c r="C12" s="224"/>
      <c r="D12" s="224"/>
      <c r="E12" s="224"/>
      <c r="F12" s="224"/>
      <c r="G12" s="224"/>
      <c r="H12" s="225"/>
    </row>
    <row r="13" spans="2:8" x14ac:dyDescent="0.25">
      <c r="B13" s="223"/>
      <c r="C13" s="224"/>
      <c r="D13" s="224"/>
      <c r="E13" s="224"/>
      <c r="F13" s="224"/>
      <c r="G13" s="224"/>
      <c r="H13" s="225"/>
    </row>
    <row r="14" spans="2:8" x14ac:dyDescent="0.25">
      <c r="B14" s="223"/>
      <c r="C14" s="224"/>
      <c r="D14" s="224"/>
      <c r="E14" s="224"/>
      <c r="F14" s="224"/>
      <c r="G14" s="224"/>
      <c r="H14" s="225"/>
    </row>
    <row r="15" spans="2:8" x14ac:dyDescent="0.25">
      <c r="B15" s="223"/>
      <c r="C15" s="224"/>
      <c r="D15" s="224"/>
      <c r="E15" s="224"/>
      <c r="F15" s="224"/>
      <c r="G15" s="224"/>
      <c r="H15" s="225"/>
    </row>
    <row r="16" spans="2:8" x14ac:dyDescent="0.25">
      <c r="B16" s="223"/>
      <c r="C16" s="224"/>
      <c r="D16" s="224"/>
      <c r="E16" s="224"/>
      <c r="F16" s="224"/>
      <c r="G16" s="224"/>
      <c r="H16" s="225"/>
    </row>
    <row r="17" spans="2:8" x14ac:dyDescent="0.25">
      <c r="B17" s="223"/>
      <c r="C17" s="224"/>
      <c r="D17" s="224"/>
      <c r="E17" s="224"/>
      <c r="F17" s="224"/>
      <c r="G17" s="224"/>
      <c r="H17" s="225"/>
    </row>
    <row r="18" spans="2:8" x14ac:dyDescent="0.25">
      <c r="B18" s="223"/>
      <c r="C18" s="224"/>
      <c r="D18" s="224"/>
      <c r="E18" s="224"/>
      <c r="F18" s="224"/>
      <c r="G18" s="224"/>
      <c r="H18" s="225"/>
    </row>
    <row r="19" spans="2:8" x14ac:dyDescent="0.25">
      <c r="B19" s="223"/>
      <c r="C19" s="224"/>
      <c r="D19" s="224"/>
      <c r="E19" s="224"/>
      <c r="F19" s="224"/>
      <c r="G19" s="224"/>
      <c r="H19" s="225"/>
    </row>
    <row r="20" spans="2:8" x14ac:dyDescent="0.25">
      <c r="B20" s="223"/>
      <c r="C20" s="224"/>
      <c r="D20" s="224"/>
      <c r="E20" s="224"/>
      <c r="F20" s="224"/>
      <c r="G20" s="224"/>
      <c r="H20" s="225"/>
    </row>
    <row r="21" spans="2:8" x14ac:dyDescent="0.25">
      <c r="B21" s="223"/>
      <c r="C21" s="224"/>
      <c r="D21" s="224"/>
      <c r="E21" s="224"/>
      <c r="F21" s="224"/>
      <c r="G21" s="224"/>
      <c r="H21" s="225"/>
    </row>
    <row r="22" spans="2:8" x14ac:dyDescent="0.25">
      <c r="B22" s="223"/>
      <c r="C22" s="224"/>
      <c r="D22" s="224"/>
      <c r="E22" s="224"/>
      <c r="F22" s="224"/>
      <c r="G22" s="224"/>
      <c r="H22" s="225"/>
    </row>
    <row r="23" spans="2:8" x14ac:dyDescent="0.25">
      <c r="B23" s="223"/>
      <c r="C23" s="224"/>
      <c r="D23" s="224"/>
      <c r="E23" s="224"/>
      <c r="F23" s="224"/>
      <c r="G23" s="224"/>
      <c r="H23" s="225"/>
    </row>
    <row r="24" spans="2:8" x14ac:dyDescent="0.25">
      <c r="B24" s="223"/>
      <c r="C24" s="224"/>
      <c r="D24" s="224"/>
      <c r="E24" s="224"/>
      <c r="F24" s="224"/>
      <c r="G24" s="224"/>
      <c r="H24" s="225"/>
    </row>
    <row r="25" spans="2:8" ht="15.75" thickBot="1" x14ac:dyDescent="0.3">
      <c r="B25" s="226"/>
      <c r="C25" s="227"/>
      <c r="D25" s="227"/>
      <c r="E25" s="227"/>
      <c r="F25" s="227"/>
      <c r="G25" s="227"/>
      <c r="H25" s="228"/>
    </row>
    <row r="28" spans="2:8" x14ac:dyDescent="0.25">
      <c r="C28" s="190" t="s">
        <v>530</v>
      </c>
      <c r="D28" s="229" t="s">
        <v>531</v>
      </c>
      <c r="E28" s="229"/>
      <c r="F28" s="190" t="s">
        <v>532</v>
      </c>
      <c r="G28" s="190" t="s">
        <v>533</v>
      </c>
    </row>
    <row r="29" spans="2:8" x14ac:dyDescent="0.25">
      <c r="C29" s="59"/>
      <c r="D29" s="216"/>
      <c r="E29" s="216"/>
      <c r="F29" s="59"/>
      <c r="G29" s="59"/>
    </row>
    <row r="30" spans="2:8" x14ac:dyDescent="0.25">
      <c r="C30" s="59"/>
      <c r="D30" s="216"/>
      <c r="E30" s="216"/>
      <c r="F30" s="59"/>
      <c r="G30" s="59"/>
    </row>
    <row r="31" spans="2:8" x14ac:dyDescent="0.25">
      <c r="C31" s="59"/>
      <c r="D31" s="216"/>
      <c r="E31" s="216"/>
      <c r="F31" s="59"/>
      <c r="G31" s="59"/>
    </row>
    <row r="32" spans="2:8" x14ac:dyDescent="0.25">
      <c r="C32" s="59"/>
      <c r="D32" s="216"/>
      <c r="E32" s="216"/>
      <c r="F32" s="59"/>
      <c r="G32" s="59"/>
    </row>
    <row r="33" spans="3:7" x14ac:dyDescent="0.25">
      <c r="C33" s="59"/>
      <c r="D33" s="216"/>
      <c r="E33" s="216"/>
      <c r="F33" s="59"/>
      <c r="G33" s="59"/>
    </row>
    <row r="34" spans="3:7" x14ac:dyDescent="0.25">
      <c r="C34" s="59"/>
      <c r="D34" s="216"/>
      <c r="E34" s="216"/>
      <c r="F34" s="59"/>
      <c r="G34" s="59"/>
    </row>
    <row r="35" spans="3:7" x14ac:dyDescent="0.25">
      <c r="C35" s="59"/>
      <c r="D35" s="216"/>
      <c r="E35" s="216"/>
      <c r="F35" s="59"/>
      <c r="G35" s="59"/>
    </row>
    <row r="36" spans="3:7" x14ac:dyDescent="0.25">
      <c r="C36" s="59"/>
      <c r="D36" s="216"/>
      <c r="E36" s="216"/>
      <c r="F36" s="59"/>
      <c r="G36" s="59"/>
    </row>
    <row r="37" spans="3:7" x14ac:dyDescent="0.25">
      <c r="C37" s="59"/>
      <c r="D37" s="216"/>
      <c r="E37" s="216"/>
      <c r="F37" s="59"/>
      <c r="G37" s="59"/>
    </row>
    <row r="38" spans="3:7" x14ac:dyDescent="0.25">
      <c r="C38" s="59"/>
      <c r="D38" s="216"/>
      <c r="E38" s="216"/>
      <c r="F38" s="59"/>
      <c r="G38" s="59"/>
    </row>
    <row r="39" spans="3:7" x14ac:dyDescent="0.25">
      <c r="C39" s="59"/>
      <c r="D39" s="216"/>
      <c r="E39" s="216"/>
      <c r="F39" s="59"/>
      <c r="G39" s="59"/>
    </row>
    <row r="40" spans="3:7" x14ac:dyDescent="0.25">
      <c r="C40" s="59"/>
      <c r="D40" s="216"/>
      <c r="E40" s="216"/>
      <c r="F40" s="59"/>
      <c r="G40" s="59"/>
    </row>
    <row r="41" spans="3:7" x14ac:dyDescent="0.25">
      <c r="C41" s="59"/>
      <c r="D41" s="216"/>
      <c r="E41" s="216"/>
      <c r="F41" s="59"/>
      <c r="G41" s="59"/>
    </row>
    <row r="42" spans="3:7" x14ac:dyDescent="0.25">
      <c r="C42" s="59"/>
      <c r="D42" s="216"/>
      <c r="E42" s="216"/>
      <c r="F42" s="59"/>
      <c r="G42" s="59"/>
    </row>
  </sheetData>
  <mergeCells count="20">
    <mergeCell ref="D41:E41"/>
    <mergeCell ref="D42:E42"/>
    <mergeCell ref="D35:E35"/>
    <mergeCell ref="D36:E36"/>
    <mergeCell ref="D37:E37"/>
    <mergeCell ref="D38:E38"/>
    <mergeCell ref="D39:E39"/>
    <mergeCell ref="D40:E40"/>
    <mergeCell ref="D34:E34"/>
    <mergeCell ref="B1:H1"/>
    <mergeCell ref="C2:E2"/>
    <mergeCell ref="G2:H2"/>
    <mergeCell ref="D4:G4"/>
    <mergeCell ref="B7:H25"/>
    <mergeCell ref="D28:E28"/>
    <mergeCell ref="D29:E29"/>
    <mergeCell ref="D30:E30"/>
    <mergeCell ref="D31:E31"/>
    <mergeCell ref="D32:E32"/>
    <mergeCell ref="D33:E3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8D6B5C-6B0B-4AF6-BB86-F21278C43CED}">
  <sheetPr codeName="Sheet4"/>
  <dimension ref="A1:K176"/>
  <sheetViews>
    <sheetView workbookViewId="0">
      <selection sqref="A1:F11"/>
    </sheetView>
  </sheetViews>
  <sheetFormatPr defaultRowHeight="15" x14ac:dyDescent="0.25"/>
  <cols>
    <col min="1" max="1" width="10.7109375" bestFit="1" customWidth="1"/>
    <col min="2" max="2" width="34.42578125" customWidth="1"/>
    <col min="6" max="6" width="11.28515625" bestFit="1" customWidth="1"/>
  </cols>
  <sheetData>
    <row r="1" spans="1:8" x14ac:dyDescent="0.25">
      <c r="A1" s="235" t="s">
        <v>15</v>
      </c>
      <c r="B1" s="236" t="s">
        <v>534</v>
      </c>
      <c r="C1" s="235" t="s">
        <v>535</v>
      </c>
      <c r="D1" s="34" t="s">
        <v>536</v>
      </c>
      <c r="E1" s="237">
        <v>2</v>
      </c>
      <c r="F1" s="235"/>
      <c r="G1" s="161"/>
      <c r="H1" s="161"/>
    </row>
    <row r="2" spans="1:8" x14ac:dyDescent="0.25">
      <c r="A2" s="235" t="s">
        <v>21</v>
      </c>
      <c r="B2" s="236" t="s">
        <v>537</v>
      </c>
      <c r="C2" s="235" t="s">
        <v>535</v>
      </c>
      <c r="D2" s="34" t="s">
        <v>538</v>
      </c>
      <c r="E2" s="237">
        <v>4</v>
      </c>
      <c r="F2" s="235"/>
      <c r="G2" s="161"/>
      <c r="H2" s="161"/>
    </row>
    <row r="3" spans="1:8" ht="30" x14ac:dyDescent="0.25">
      <c r="A3" s="235" t="s">
        <v>21</v>
      </c>
      <c r="B3" s="236" t="s">
        <v>537</v>
      </c>
      <c r="C3" s="235" t="s">
        <v>539</v>
      </c>
      <c r="D3" s="235"/>
      <c r="E3" s="237">
        <v>4</v>
      </c>
      <c r="F3" s="235"/>
      <c r="G3" s="161"/>
      <c r="H3" s="161"/>
    </row>
    <row r="4" spans="1:8" ht="30" x14ac:dyDescent="0.25">
      <c r="A4" s="235" t="s">
        <v>491</v>
      </c>
      <c r="B4" s="236" t="s">
        <v>540</v>
      </c>
      <c r="C4" s="235" t="s">
        <v>539</v>
      </c>
      <c r="D4" s="235"/>
      <c r="E4" s="237">
        <v>3</v>
      </c>
      <c r="F4" s="235"/>
      <c r="G4" s="161"/>
      <c r="H4" s="161"/>
    </row>
    <row r="5" spans="1:8" x14ac:dyDescent="0.25">
      <c r="A5" s="235" t="s">
        <v>13</v>
      </c>
      <c r="B5" s="236" t="s">
        <v>541</v>
      </c>
      <c r="C5" s="235" t="s">
        <v>535</v>
      </c>
      <c r="D5" s="34" t="s">
        <v>536</v>
      </c>
      <c r="E5" s="237">
        <v>1</v>
      </c>
      <c r="F5" s="235"/>
      <c r="G5" s="161"/>
      <c r="H5" s="161"/>
    </row>
    <row r="6" spans="1:8" ht="30" x14ac:dyDescent="0.25">
      <c r="A6" s="235" t="s">
        <v>88</v>
      </c>
      <c r="B6" s="236" t="s">
        <v>542</v>
      </c>
      <c r="C6" s="235" t="s">
        <v>539</v>
      </c>
      <c r="D6" s="235"/>
      <c r="E6" s="237">
        <v>3</v>
      </c>
      <c r="F6" s="235"/>
      <c r="G6" s="161"/>
      <c r="H6" s="161"/>
    </row>
    <row r="7" spans="1:8" ht="30" x14ac:dyDescent="0.25">
      <c r="A7" s="235" t="s">
        <v>97</v>
      </c>
      <c r="B7" s="236" t="s">
        <v>543</v>
      </c>
      <c r="C7" s="235" t="s">
        <v>539</v>
      </c>
      <c r="D7" s="235"/>
      <c r="E7" s="237">
        <v>3</v>
      </c>
      <c r="F7" s="235"/>
      <c r="G7" s="161"/>
      <c r="H7" s="161"/>
    </row>
    <row r="8" spans="1:8" x14ac:dyDescent="0.25">
      <c r="A8" s="235" t="s">
        <v>544</v>
      </c>
      <c r="B8" s="236" t="s">
        <v>545</v>
      </c>
      <c r="C8" s="235" t="s">
        <v>535</v>
      </c>
      <c r="D8" s="34" t="s">
        <v>546</v>
      </c>
      <c r="E8" s="237">
        <v>3</v>
      </c>
      <c r="F8" s="235"/>
      <c r="G8" s="161"/>
      <c r="H8" s="161"/>
    </row>
    <row r="9" spans="1:8" x14ac:dyDescent="0.25">
      <c r="A9" s="235" t="s">
        <v>547</v>
      </c>
      <c r="B9" s="236" t="s">
        <v>548</v>
      </c>
      <c r="C9" s="235" t="s">
        <v>535</v>
      </c>
      <c r="D9" s="34" t="s">
        <v>549</v>
      </c>
      <c r="E9" s="237">
        <v>3</v>
      </c>
      <c r="F9" s="235"/>
      <c r="G9" s="161"/>
      <c r="H9" s="161"/>
    </row>
    <row r="10" spans="1:8" ht="30" x14ac:dyDescent="0.25">
      <c r="A10" s="235" t="s">
        <v>550</v>
      </c>
      <c r="B10" s="236" t="s">
        <v>551</v>
      </c>
      <c r="C10" s="235" t="s">
        <v>539</v>
      </c>
      <c r="D10" s="235"/>
      <c r="E10" s="237">
        <v>3</v>
      </c>
      <c r="F10" s="235"/>
      <c r="G10" s="161"/>
      <c r="H10" s="161"/>
    </row>
    <row r="11" spans="1:8" x14ac:dyDescent="0.25">
      <c r="A11" s="235" t="s">
        <v>95</v>
      </c>
      <c r="B11" s="236" t="s">
        <v>552</v>
      </c>
      <c r="C11" s="235" t="s">
        <v>535</v>
      </c>
      <c r="D11" s="34" t="s">
        <v>536</v>
      </c>
      <c r="E11" s="237">
        <v>3</v>
      </c>
      <c r="F11" s="235"/>
      <c r="G11" s="161"/>
      <c r="H11" s="161"/>
    </row>
    <row r="12" spans="1:8" ht="15.75" thickBot="1" x14ac:dyDescent="0.3">
      <c r="A12" s="163"/>
      <c r="B12" s="164"/>
      <c r="C12" s="163"/>
      <c r="D12" s="165"/>
      <c r="E12" s="166"/>
      <c r="F12" s="163"/>
      <c r="G12" s="161"/>
      <c r="H12" s="161"/>
    </row>
    <row r="13" spans="1:8" ht="15.75" thickBot="1" x14ac:dyDescent="0.3">
      <c r="A13" s="167"/>
      <c r="B13" s="168"/>
      <c r="C13" s="167"/>
      <c r="D13" s="169"/>
      <c r="E13" s="170"/>
      <c r="F13" s="167"/>
      <c r="G13" s="161"/>
      <c r="H13" s="161"/>
    </row>
    <row r="14" spans="1:8" ht="15.75" thickBot="1" x14ac:dyDescent="0.3">
      <c r="A14" s="163"/>
      <c r="B14" s="164"/>
      <c r="C14" s="163"/>
      <c r="D14" s="165"/>
      <c r="E14" s="166"/>
      <c r="F14" s="163"/>
      <c r="G14" s="161"/>
      <c r="H14" s="161"/>
    </row>
    <row r="15" spans="1:8" ht="15.75" thickBot="1" x14ac:dyDescent="0.3">
      <c r="A15" s="167"/>
      <c r="B15" s="168"/>
      <c r="C15" s="167"/>
      <c r="D15" s="169"/>
      <c r="E15" s="170"/>
      <c r="F15" s="167"/>
      <c r="G15" s="161"/>
      <c r="H15" s="161"/>
    </row>
    <row r="16" spans="1:8" ht="15.75" thickBot="1" x14ac:dyDescent="0.3">
      <c r="A16" s="163"/>
      <c r="B16" s="164"/>
      <c r="C16" s="163"/>
      <c r="D16" s="165"/>
      <c r="E16" s="166"/>
      <c r="F16" s="163"/>
      <c r="G16" s="161"/>
      <c r="H16" s="161"/>
    </row>
    <row r="17" spans="1:11" ht="15.75" thickBot="1" x14ac:dyDescent="0.3">
      <c r="A17" s="167"/>
      <c r="B17" s="168"/>
      <c r="C17" s="167"/>
      <c r="D17" s="169"/>
      <c r="E17" s="170"/>
      <c r="F17" s="167"/>
      <c r="G17" s="161"/>
      <c r="H17" s="161"/>
    </row>
    <row r="18" spans="1:11" ht="15.75" thickBot="1" x14ac:dyDescent="0.3">
      <c r="A18" s="163"/>
      <c r="B18" s="164"/>
      <c r="C18" s="163"/>
      <c r="D18" s="165"/>
      <c r="E18" s="166"/>
      <c r="F18" s="163"/>
      <c r="G18" s="161"/>
      <c r="H18" s="161"/>
    </row>
    <row r="19" spans="1:11" ht="15.75" thickBot="1" x14ac:dyDescent="0.3">
      <c r="A19" s="167"/>
      <c r="B19" s="168"/>
      <c r="C19" s="167"/>
      <c r="D19" s="169"/>
      <c r="E19" s="170"/>
      <c r="F19" s="167"/>
      <c r="G19" s="161"/>
      <c r="H19" s="161"/>
    </row>
    <row r="20" spans="1:11" ht="15.75" thickBot="1" x14ac:dyDescent="0.3">
      <c r="A20" s="163"/>
      <c r="B20" s="164"/>
      <c r="C20" s="163"/>
      <c r="D20" s="165"/>
      <c r="E20" s="166"/>
      <c r="F20" s="163"/>
      <c r="G20" s="161"/>
      <c r="H20" s="161"/>
    </row>
    <row r="21" spans="1:11" ht="15.75" thickBot="1" x14ac:dyDescent="0.3">
      <c r="A21" s="167"/>
      <c r="B21" s="168"/>
      <c r="C21" s="167"/>
      <c r="D21" s="169"/>
      <c r="E21" s="170"/>
      <c r="F21" s="167"/>
      <c r="G21" s="161"/>
      <c r="H21" s="161"/>
    </row>
    <row r="22" spans="1:11" ht="15.75" thickBot="1" x14ac:dyDescent="0.3">
      <c r="A22" s="163"/>
      <c r="B22" s="164"/>
      <c r="C22" s="163"/>
      <c r="D22" s="163"/>
      <c r="E22" s="166"/>
      <c r="F22" s="163"/>
      <c r="G22" s="161"/>
      <c r="H22" s="161"/>
    </row>
    <row r="23" spans="1:11" ht="15.75" thickBot="1" x14ac:dyDescent="0.3">
      <c r="A23" s="167"/>
      <c r="B23" s="168"/>
      <c r="C23" s="167"/>
      <c r="D23" s="169"/>
      <c r="E23" s="170"/>
      <c r="F23" s="167"/>
      <c r="G23" s="161"/>
      <c r="H23" s="161"/>
    </row>
    <row r="24" spans="1:11" ht="15.75" thickBot="1" x14ac:dyDescent="0.3">
      <c r="A24" s="163"/>
      <c r="B24" s="164"/>
      <c r="C24" s="163"/>
      <c r="D24" s="165"/>
      <c r="E24" s="166"/>
      <c r="F24" s="163"/>
      <c r="G24" s="161"/>
      <c r="H24" s="161"/>
    </row>
    <row r="25" spans="1:11" ht="15.75" thickBot="1" x14ac:dyDescent="0.3">
      <c r="A25" s="167"/>
      <c r="B25" s="168"/>
      <c r="C25" s="167"/>
      <c r="D25" s="169"/>
      <c r="E25" s="170"/>
      <c r="F25" s="167"/>
      <c r="G25" s="161"/>
      <c r="H25" s="161"/>
    </row>
    <row r="26" spans="1:11" ht="15.75" thickBot="1" x14ac:dyDescent="0.3">
      <c r="A26" s="163"/>
      <c r="B26" s="164"/>
      <c r="C26" s="163"/>
      <c r="D26" s="165"/>
      <c r="E26" s="166"/>
      <c r="F26" s="163"/>
      <c r="G26" s="161"/>
      <c r="H26" s="161"/>
    </row>
    <row r="27" spans="1:11" ht="15.75" thickBot="1" x14ac:dyDescent="0.3">
      <c r="A27" s="167"/>
      <c r="B27" s="168"/>
      <c r="C27" s="167"/>
      <c r="D27" s="169"/>
      <c r="E27" s="170"/>
      <c r="F27" s="167"/>
      <c r="G27" s="161"/>
      <c r="H27" s="161"/>
    </row>
    <row r="28" spans="1:11" ht="15.75" thickBot="1" x14ac:dyDescent="0.3">
      <c r="A28" s="163"/>
      <c r="B28" s="164"/>
      <c r="C28" s="163"/>
      <c r="D28" s="165"/>
      <c r="E28" s="166"/>
      <c r="F28" s="163"/>
      <c r="G28" s="161"/>
      <c r="H28" s="161"/>
    </row>
    <row r="29" spans="1:11" x14ac:dyDescent="0.25">
      <c r="A29" s="161"/>
      <c r="B29" s="161"/>
      <c r="C29" s="161"/>
      <c r="D29" s="161"/>
      <c r="E29" s="161"/>
      <c r="F29" s="161"/>
      <c r="G29" s="161"/>
      <c r="H29" s="161"/>
    </row>
    <row r="30" spans="1:11" x14ac:dyDescent="0.25">
      <c r="A30" s="161"/>
      <c r="B30" s="161"/>
      <c r="C30" s="161"/>
      <c r="D30" s="161"/>
      <c r="E30" s="161"/>
      <c r="F30" s="161"/>
      <c r="G30" s="161"/>
      <c r="H30" s="161"/>
    </row>
    <row r="31" spans="1:11" x14ac:dyDescent="0.25">
      <c r="A31" s="161"/>
      <c r="B31" s="161"/>
      <c r="C31" s="161"/>
      <c r="D31" s="161"/>
      <c r="E31" s="161"/>
      <c r="F31" s="161"/>
      <c r="G31" s="161"/>
      <c r="H31" s="161"/>
    </row>
    <row r="32" spans="1:11" x14ac:dyDescent="0.25">
      <c r="A32" s="161"/>
      <c r="B32" s="161"/>
      <c r="C32" s="161"/>
      <c r="D32" s="161"/>
      <c r="E32" s="161"/>
      <c r="F32" s="161"/>
      <c r="G32" s="161"/>
      <c r="H32" s="161"/>
      <c r="I32" s="79"/>
      <c r="J32" s="79"/>
      <c r="K32" s="79"/>
    </row>
    <row r="33" spans="1:8" x14ac:dyDescent="0.25">
      <c r="A33" s="161"/>
      <c r="B33" s="161"/>
      <c r="C33" s="161"/>
      <c r="D33" s="161"/>
      <c r="E33" s="161"/>
      <c r="F33" s="161"/>
      <c r="G33" s="161"/>
      <c r="H33" s="161"/>
    </row>
    <row r="34" spans="1:8" x14ac:dyDescent="0.25">
      <c r="A34" s="161"/>
      <c r="B34" s="161"/>
      <c r="C34" s="161"/>
      <c r="D34" s="161"/>
      <c r="E34" s="161"/>
      <c r="F34" s="161"/>
      <c r="G34" s="161"/>
      <c r="H34" s="161"/>
    </row>
    <row r="35" spans="1:8" x14ac:dyDescent="0.25">
      <c r="A35" s="161"/>
      <c r="B35" s="161"/>
      <c r="C35" s="161"/>
      <c r="D35" s="161"/>
      <c r="E35" s="161"/>
      <c r="F35" s="161"/>
      <c r="G35" s="161"/>
      <c r="H35" s="161"/>
    </row>
    <row r="36" spans="1:8" x14ac:dyDescent="0.25">
      <c r="A36" s="161"/>
      <c r="B36" s="161"/>
      <c r="C36" s="161"/>
      <c r="D36" s="161"/>
      <c r="E36" s="161"/>
      <c r="F36" s="161"/>
      <c r="G36" s="161"/>
      <c r="H36" s="161"/>
    </row>
    <row r="37" spans="1:8" x14ac:dyDescent="0.25">
      <c r="A37" s="161"/>
      <c r="B37" s="161"/>
      <c r="C37" s="161"/>
      <c r="D37" s="161"/>
      <c r="E37" s="161"/>
      <c r="F37" s="161"/>
      <c r="G37" s="161"/>
      <c r="H37" s="161"/>
    </row>
    <row r="38" spans="1:8" x14ac:dyDescent="0.25">
      <c r="A38" s="161"/>
      <c r="B38" s="161"/>
      <c r="C38" s="161"/>
      <c r="D38" s="161"/>
      <c r="E38" s="161"/>
      <c r="F38" s="161"/>
      <c r="G38" s="161"/>
      <c r="H38" s="161"/>
    </row>
    <row r="39" spans="1:8" x14ac:dyDescent="0.25">
      <c r="A39" s="161"/>
      <c r="B39" s="161"/>
      <c r="C39" s="161"/>
      <c r="D39" s="161"/>
      <c r="E39" s="161"/>
      <c r="F39" s="161"/>
      <c r="G39" s="161"/>
      <c r="H39" s="161"/>
    </row>
    <row r="40" spans="1:8" x14ac:dyDescent="0.25">
      <c r="A40" s="161"/>
      <c r="B40" s="161"/>
      <c r="C40" s="161"/>
      <c r="D40" s="161"/>
      <c r="E40" s="161"/>
      <c r="F40" s="161"/>
      <c r="G40" s="161"/>
      <c r="H40" s="161"/>
    </row>
    <row r="41" spans="1:8" x14ac:dyDescent="0.25">
      <c r="A41" s="161"/>
      <c r="B41" s="161"/>
      <c r="C41" s="161"/>
      <c r="D41" s="161"/>
      <c r="E41" s="161"/>
      <c r="F41" s="161"/>
      <c r="G41" s="161"/>
      <c r="H41" s="161"/>
    </row>
    <row r="42" spans="1:8" x14ac:dyDescent="0.25">
      <c r="A42" s="161"/>
      <c r="B42" s="161"/>
      <c r="C42" s="161"/>
      <c r="D42" s="161"/>
      <c r="E42" s="161"/>
      <c r="F42" s="161"/>
      <c r="G42" s="161"/>
      <c r="H42" s="161"/>
    </row>
    <row r="43" spans="1:8" x14ac:dyDescent="0.25">
      <c r="A43" s="161"/>
      <c r="B43" s="161"/>
      <c r="C43" s="161"/>
      <c r="D43" s="161"/>
      <c r="E43" s="161"/>
      <c r="F43" s="161"/>
      <c r="G43" s="161"/>
      <c r="H43" s="161"/>
    </row>
    <row r="44" spans="1:8" x14ac:dyDescent="0.25">
      <c r="A44" s="161"/>
      <c r="B44" s="161"/>
      <c r="C44" s="161"/>
      <c r="D44" s="161"/>
      <c r="E44" s="161"/>
      <c r="F44" s="161"/>
      <c r="G44" s="161"/>
      <c r="H44" s="161"/>
    </row>
    <row r="45" spans="1:8" x14ac:dyDescent="0.25">
      <c r="A45" s="161"/>
      <c r="B45" s="161"/>
      <c r="C45" s="161"/>
      <c r="D45" s="161"/>
      <c r="E45" s="161"/>
      <c r="F45" s="161"/>
      <c r="G45" s="161"/>
      <c r="H45" s="161"/>
    </row>
    <row r="46" spans="1:8" x14ac:dyDescent="0.25">
      <c r="A46" s="161"/>
      <c r="B46" s="161"/>
      <c r="C46" s="161"/>
      <c r="D46" s="161"/>
      <c r="E46" s="161"/>
      <c r="F46" s="161"/>
      <c r="G46" s="161"/>
      <c r="H46" s="161"/>
    </row>
    <row r="47" spans="1:8" x14ac:dyDescent="0.25">
      <c r="A47" s="161"/>
      <c r="B47" s="161"/>
      <c r="C47" s="161"/>
      <c r="D47" s="161"/>
      <c r="E47" s="161"/>
      <c r="F47" s="161"/>
      <c r="G47" s="161"/>
      <c r="H47" s="161"/>
    </row>
    <row r="48" spans="1:8" x14ac:dyDescent="0.25">
      <c r="A48" s="161"/>
      <c r="B48" s="161"/>
      <c r="C48" s="161"/>
      <c r="D48" s="161"/>
      <c r="E48" s="161"/>
      <c r="F48" s="161"/>
      <c r="G48" s="161"/>
      <c r="H48" s="161"/>
    </row>
    <row r="49" spans="1:8" x14ac:dyDescent="0.25">
      <c r="A49" s="161"/>
      <c r="B49" s="161"/>
      <c r="C49" s="161"/>
      <c r="D49" s="161"/>
      <c r="E49" s="161"/>
      <c r="F49" s="161"/>
      <c r="G49" s="161"/>
      <c r="H49" s="161"/>
    </row>
    <row r="50" spans="1:8" x14ac:dyDescent="0.25">
      <c r="A50" s="161"/>
      <c r="B50" s="161"/>
      <c r="C50" s="161"/>
      <c r="D50" s="161"/>
      <c r="E50" s="161"/>
      <c r="F50" s="161"/>
      <c r="G50" s="161"/>
      <c r="H50" s="161"/>
    </row>
    <row r="51" spans="1:8" x14ac:dyDescent="0.25">
      <c r="A51" s="161"/>
      <c r="B51" s="161"/>
      <c r="C51" s="161"/>
      <c r="D51" s="161"/>
      <c r="E51" s="161"/>
      <c r="F51" s="161"/>
      <c r="G51" s="161"/>
      <c r="H51" s="161"/>
    </row>
    <row r="52" spans="1:8" x14ac:dyDescent="0.25">
      <c r="A52" s="161"/>
      <c r="B52" s="161"/>
      <c r="C52" s="161"/>
      <c r="D52" s="161"/>
      <c r="E52" s="161"/>
      <c r="F52" s="161"/>
      <c r="G52" s="161"/>
      <c r="H52" s="161"/>
    </row>
    <row r="53" spans="1:8" x14ac:dyDescent="0.25">
      <c r="A53" s="161"/>
      <c r="B53" s="161"/>
      <c r="C53" s="161"/>
      <c r="D53" s="161"/>
      <c r="E53" s="161"/>
      <c r="F53" s="161"/>
      <c r="G53" s="161"/>
      <c r="H53" s="161"/>
    </row>
    <row r="54" spans="1:8" x14ac:dyDescent="0.25">
      <c r="A54" s="161"/>
      <c r="B54" s="161"/>
      <c r="C54" s="161"/>
      <c r="D54" s="161"/>
      <c r="E54" s="161"/>
      <c r="F54" s="161"/>
      <c r="G54" s="161"/>
      <c r="H54" s="161"/>
    </row>
    <row r="55" spans="1:8" x14ac:dyDescent="0.25">
      <c r="A55" s="161"/>
      <c r="B55" s="161"/>
      <c r="C55" s="161"/>
      <c r="D55" s="161"/>
      <c r="E55" s="161"/>
      <c r="F55" s="161"/>
      <c r="G55" s="161"/>
      <c r="H55" s="161"/>
    </row>
    <row r="56" spans="1:8" x14ac:dyDescent="0.25">
      <c r="A56" s="161"/>
      <c r="B56" s="161"/>
      <c r="C56" s="161"/>
      <c r="D56" s="161"/>
      <c r="E56" s="161"/>
      <c r="F56" s="161"/>
      <c r="G56" s="161"/>
      <c r="H56" s="161"/>
    </row>
    <row r="57" spans="1:8" x14ac:dyDescent="0.25">
      <c r="A57" s="161"/>
      <c r="B57" s="161"/>
      <c r="C57" s="161"/>
      <c r="D57" s="161"/>
      <c r="E57" s="161"/>
      <c r="F57" s="161"/>
      <c r="G57" s="161"/>
      <c r="H57" s="161"/>
    </row>
    <row r="58" spans="1:8" x14ac:dyDescent="0.25">
      <c r="A58" s="161"/>
      <c r="B58" s="161"/>
      <c r="C58" s="161"/>
      <c r="D58" s="161"/>
      <c r="E58" s="161"/>
      <c r="F58" s="161"/>
      <c r="G58" s="161"/>
      <c r="H58" s="161"/>
    </row>
    <row r="59" spans="1:8" x14ac:dyDescent="0.25">
      <c r="A59" s="161"/>
      <c r="B59" s="161"/>
      <c r="C59" s="161"/>
      <c r="D59" s="161"/>
      <c r="E59" s="161"/>
      <c r="F59" s="161"/>
      <c r="G59" s="161"/>
      <c r="H59" s="161"/>
    </row>
    <row r="60" spans="1:8" x14ac:dyDescent="0.25">
      <c r="A60" s="161"/>
      <c r="B60" s="161"/>
      <c r="C60" s="161"/>
      <c r="D60" s="161"/>
      <c r="E60" s="161"/>
      <c r="F60" s="161"/>
      <c r="G60" s="161"/>
      <c r="H60" s="161"/>
    </row>
    <row r="61" spans="1:8" x14ac:dyDescent="0.25">
      <c r="A61" s="161"/>
      <c r="B61" s="161"/>
      <c r="C61" s="161"/>
      <c r="D61" s="161"/>
      <c r="E61" s="161"/>
      <c r="F61" s="161"/>
      <c r="G61" s="161"/>
      <c r="H61" s="161"/>
    </row>
    <row r="62" spans="1:8" x14ac:dyDescent="0.25">
      <c r="A62" s="161"/>
      <c r="B62" s="161"/>
      <c r="C62" s="161"/>
      <c r="D62" s="161"/>
      <c r="E62" s="161"/>
      <c r="F62" s="161"/>
      <c r="G62" s="161"/>
      <c r="H62" s="161"/>
    </row>
    <row r="63" spans="1:8" x14ac:dyDescent="0.25">
      <c r="A63" s="161"/>
      <c r="B63" s="161"/>
      <c r="C63" s="161"/>
      <c r="D63" s="161"/>
      <c r="E63" s="161"/>
      <c r="F63" s="161"/>
      <c r="G63" s="161"/>
      <c r="H63" s="161"/>
    </row>
    <row r="64" spans="1:8" x14ac:dyDescent="0.25">
      <c r="A64" s="161"/>
      <c r="B64" s="161"/>
      <c r="C64" s="161"/>
      <c r="D64" s="161"/>
      <c r="E64" s="161"/>
      <c r="F64" s="161"/>
      <c r="G64" s="161"/>
      <c r="H64" s="161"/>
    </row>
    <row r="65" spans="1:8" x14ac:dyDescent="0.25">
      <c r="A65" s="161"/>
      <c r="B65" s="161"/>
      <c r="C65" s="161"/>
      <c r="D65" s="161"/>
      <c r="E65" s="161"/>
      <c r="F65" s="161"/>
      <c r="G65" s="161"/>
      <c r="H65" s="161"/>
    </row>
    <row r="66" spans="1:8" x14ac:dyDescent="0.25">
      <c r="A66" s="161"/>
      <c r="B66" s="161"/>
      <c r="C66" s="161"/>
      <c r="D66" s="161"/>
      <c r="E66" s="161"/>
      <c r="F66" s="161"/>
      <c r="G66" s="161"/>
      <c r="H66" s="161"/>
    </row>
    <row r="67" spans="1:8" x14ac:dyDescent="0.25">
      <c r="A67" s="161"/>
      <c r="B67" s="161"/>
      <c r="C67" s="161"/>
      <c r="D67" s="161"/>
      <c r="E67" s="161"/>
      <c r="F67" s="161"/>
      <c r="G67" s="161"/>
      <c r="H67" s="161"/>
    </row>
    <row r="68" spans="1:8" x14ac:dyDescent="0.25">
      <c r="A68" s="161"/>
      <c r="B68" s="161"/>
      <c r="C68" s="161"/>
      <c r="D68" s="161"/>
      <c r="E68" s="161"/>
      <c r="F68" s="161"/>
      <c r="G68" s="161"/>
      <c r="H68" s="161"/>
    </row>
    <row r="69" spans="1:8" x14ac:dyDescent="0.25">
      <c r="A69" s="161"/>
      <c r="B69" s="161"/>
      <c r="C69" s="161"/>
      <c r="D69" s="161"/>
      <c r="E69" s="161"/>
      <c r="F69" s="161"/>
      <c r="G69" s="161"/>
      <c r="H69" s="161"/>
    </row>
    <row r="70" spans="1:8" x14ac:dyDescent="0.25">
      <c r="A70" s="161"/>
      <c r="B70" s="161"/>
      <c r="C70" s="161"/>
      <c r="D70" s="161"/>
      <c r="E70" s="161"/>
      <c r="F70" s="161"/>
      <c r="G70" s="161"/>
      <c r="H70" s="161"/>
    </row>
    <row r="71" spans="1:8" x14ac:dyDescent="0.25">
      <c r="A71" s="161"/>
      <c r="B71" s="161"/>
      <c r="C71" s="161"/>
      <c r="D71" s="161"/>
      <c r="E71" s="161"/>
      <c r="F71" s="161"/>
      <c r="G71" s="161"/>
      <c r="H71" s="161"/>
    </row>
    <row r="72" spans="1:8" x14ac:dyDescent="0.25">
      <c r="A72" s="161"/>
      <c r="B72" s="161"/>
      <c r="C72" s="161"/>
      <c r="D72" s="161"/>
      <c r="E72" s="161"/>
      <c r="F72" s="161"/>
      <c r="G72" s="161"/>
      <c r="H72" s="161"/>
    </row>
    <row r="73" spans="1:8" x14ac:dyDescent="0.25">
      <c r="A73" s="161"/>
      <c r="B73" s="161"/>
      <c r="C73" s="161"/>
      <c r="D73" s="161"/>
      <c r="E73" s="161"/>
      <c r="F73" s="161"/>
      <c r="G73" s="161"/>
      <c r="H73" s="161"/>
    </row>
    <row r="74" spans="1:8" x14ac:dyDescent="0.25">
      <c r="A74" s="161"/>
      <c r="B74" s="161"/>
      <c r="C74" s="161"/>
      <c r="D74" s="161"/>
      <c r="E74" s="161"/>
      <c r="F74" s="161"/>
      <c r="G74" s="161"/>
      <c r="H74" s="161"/>
    </row>
    <row r="75" spans="1:8" x14ac:dyDescent="0.25">
      <c r="A75" s="161"/>
      <c r="B75" s="161"/>
      <c r="C75" s="161"/>
      <c r="D75" s="161"/>
      <c r="E75" s="161"/>
      <c r="F75" s="161"/>
      <c r="G75" s="161"/>
      <c r="H75" s="161"/>
    </row>
    <row r="76" spans="1:8" x14ac:dyDescent="0.25">
      <c r="A76" s="161"/>
      <c r="B76" s="161"/>
      <c r="C76" s="161"/>
      <c r="D76" s="161"/>
      <c r="E76" s="161"/>
      <c r="F76" s="161"/>
      <c r="G76" s="161"/>
      <c r="H76" s="161"/>
    </row>
    <row r="77" spans="1:8" x14ac:dyDescent="0.25">
      <c r="A77" s="161"/>
      <c r="B77" s="161"/>
      <c r="C77" s="161"/>
      <c r="D77" s="161"/>
      <c r="E77" s="161"/>
      <c r="F77" s="161"/>
      <c r="G77" s="161"/>
      <c r="H77" s="161"/>
    </row>
    <row r="78" spans="1:8" x14ac:dyDescent="0.25">
      <c r="A78" s="106"/>
    </row>
    <row r="79" spans="1:8" x14ac:dyDescent="0.25">
      <c r="A79" s="105"/>
    </row>
    <row r="80" spans="1:8" x14ac:dyDescent="0.25">
      <c r="A80" s="107"/>
    </row>
    <row r="81" spans="1:1" x14ac:dyDescent="0.25">
      <c r="A81" s="105"/>
    </row>
    <row r="83" spans="1:1" x14ac:dyDescent="0.25">
      <c r="A83" s="105"/>
    </row>
    <row r="84" spans="1:1" x14ac:dyDescent="0.25">
      <c r="A84" s="106"/>
    </row>
    <row r="85" spans="1:1" x14ac:dyDescent="0.25">
      <c r="A85" s="105"/>
    </row>
    <row r="86" spans="1:1" x14ac:dyDescent="0.25">
      <c r="A86" s="107"/>
    </row>
    <row r="87" spans="1:1" x14ac:dyDescent="0.25">
      <c r="A87" s="105"/>
    </row>
    <row r="89" spans="1:1" x14ac:dyDescent="0.25">
      <c r="A89" s="105"/>
    </row>
    <row r="90" spans="1:1" x14ac:dyDescent="0.25">
      <c r="A90" s="106"/>
    </row>
    <row r="91" spans="1:1" x14ac:dyDescent="0.25">
      <c r="A91" s="105"/>
    </row>
    <row r="92" spans="1:1" x14ac:dyDescent="0.25">
      <c r="A92" s="105"/>
    </row>
    <row r="94" spans="1:1" x14ac:dyDescent="0.25">
      <c r="A94" s="105"/>
    </row>
    <row r="95" spans="1:1" x14ac:dyDescent="0.25">
      <c r="A95" s="106"/>
    </row>
    <row r="96" spans="1:1" x14ac:dyDescent="0.25">
      <c r="A96" s="105"/>
    </row>
    <row r="97" spans="1:1" x14ac:dyDescent="0.25">
      <c r="A97" s="107"/>
    </row>
    <row r="98" spans="1:1" x14ac:dyDescent="0.25">
      <c r="A98" s="105"/>
    </row>
    <row r="100" spans="1:1" x14ac:dyDescent="0.25">
      <c r="A100" s="105"/>
    </row>
    <row r="101" spans="1:1" x14ac:dyDescent="0.25">
      <c r="A101" s="106"/>
    </row>
    <row r="102" spans="1:1" x14ac:dyDescent="0.25">
      <c r="A102" s="105"/>
    </row>
    <row r="103" spans="1:1" x14ac:dyDescent="0.25">
      <c r="A103" s="107"/>
    </row>
    <row r="104" spans="1:1" x14ac:dyDescent="0.25">
      <c r="A104" s="105"/>
    </row>
    <row r="106" spans="1:1" x14ac:dyDescent="0.25">
      <c r="A106" s="105"/>
    </row>
    <row r="107" spans="1:1" x14ac:dyDescent="0.25">
      <c r="A107" s="106"/>
    </row>
    <row r="108" spans="1:1" x14ac:dyDescent="0.25">
      <c r="A108" s="105"/>
    </row>
    <row r="109" spans="1:1" x14ac:dyDescent="0.25">
      <c r="A109" s="107"/>
    </row>
    <row r="110" spans="1:1" x14ac:dyDescent="0.25">
      <c r="A110" s="105"/>
    </row>
    <row r="112" spans="1:1" x14ac:dyDescent="0.25">
      <c r="A112" s="105"/>
    </row>
    <row r="113" spans="1:1" x14ac:dyDescent="0.25">
      <c r="A113" s="106"/>
    </row>
    <row r="114" spans="1:1" x14ac:dyDescent="0.25">
      <c r="A114" s="105"/>
    </row>
    <row r="115" spans="1:1" x14ac:dyDescent="0.25">
      <c r="A115" s="107"/>
    </row>
    <row r="116" spans="1:1" x14ac:dyDescent="0.25">
      <c r="A116" s="105"/>
    </row>
    <row r="118" spans="1:1" x14ac:dyDescent="0.25">
      <c r="A118" s="105"/>
    </row>
    <row r="119" spans="1:1" x14ac:dyDescent="0.25">
      <c r="A119" s="106"/>
    </row>
    <row r="120" spans="1:1" x14ac:dyDescent="0.25">
      <c r="A120" s="105"/>
    </row>
    <row r="121" spans="1:1" x14ac:dyDescent="0.25">
      <c r="A121" s="107"/>
    </row>
    <row r="122" spans="1:1" x14ac:dyDescent="0.25">
      <c r="A122" s="105"/>
    </row>
    <row r="124" spans="1:1" x14ac:dyDescent="0.25">
      <c r="A124" s="105"/>
    </row>
    <row r="125" spans="1:1" x14ac:dyDescent="0.25">
      <c r="A125" s="106"/>
    </row>
    <row r="126" spans="1:1" x14ac:dyDescent="0.25">
      <c r="A126" s="105"/>
    </row>
    <row r="127" spans="1:1" x14ac:dyDescent="0.25">
      <c r="A127" s="107"/>
    </row>
    <row r="128" spans="1:1" x14ac:dyDescent="0.25">
      <c r="A128" s="105"/>
    </row>
    <row r="130" spans="1:1" x14ac:dyDescent="0.25">
      <c r="A130" s="105"/>
    </row>
    <row r="131" spans="1:1" x14ac:dyDescent="0.25">
      <c r="A131" s="106"/>
    </row>
    <row r="132" spans="1:1" x14ac:dyDescent="0.25">
      <c r="A132" s="105"/>
    </row>
    <row r="133" spans="1:1" x14ac:dyDescent="0.25">
      <c r="A133" s="107"/>
    </row>
    <row r="134" spans="1:1" x14ac:dyDescent="0.25">
      <c r="A134" s="105"/>
    </row>
    <row r="136" spans="1:1" x14ac:dyDescent="0.25">
      <c r="A136" s="105"/>
    </row>
    <row r="137" spans="1:1" x14ac:dyDescent="0.25">
      <c r="A137" s="106"/>
    </row>
    <row r="138" spans="1:1" x14ac:dyDescent="0.25">
      <c r="A138" s="105"/>
    </row>
    <row r="139" spans="1:1" x14ac:dyDescent="0.25">
      <c r="A139" s="107"/>
    </row>
    <row r="140" spans="1:1" x14ac:dyDescent="0.25">
      <c r="A140" s="105"/>
    </row>
    <row r="142" spans="1:1" x14ac:dyDescent="0.25">
      <c r="A142" s="105"/>
    </row>
    <row r="143" spans="1:1" x14ac:dyDescent="0.25">
      <c r="A143" s="106"/>
    </row>
    <row r="144" spans="1:1" x14ac:dyDescent="0.25">
      <c r="A144" s="105"/>
    </row>
    <row r="145" spans="1:1" x14ac:dyDescent="0.25">
      <c r="A145" s="107"/>
    </row>
    <row r="146" spans="1:1" x14ac:dyDescent="0.25">
      <c r="A146" s="105"/>
    </row>
    <row r="148" spans="1:1" x14ac:dyDescent="0.25">
      <c r="A148" s="105"/>
    </row>
    <row r="149" spans="1:1" x14ac:dyDescent="0.25">
      <c r="A149" s="106"/>
    </row>
    <row r="150" spans="1:1" x14ac:dyDescent="0.25">
      <c r="A150" s="105"/>
    </row>
    <row r="151" spans="1:1" x14ac:dyDescent="0.25">
      <c r="A151" s="107"/>
    </row>
    <row r="152" spans="1:1" x14ac:dyDescent="0.25">
      <c r="A152" s="105"/>
    </row>
    <row r="154" spans="1:1" x14ac:dyDescent="0.25">
      <c r="A154" s="105"/>
    </row>
    <row r="155" spans="1:1" x14ac:dyDescent="0.25">
      <c r="A155" s="106"/>
    </row>
    <row r="156" spans="1:1" x14ac:dyDescent="0.25">
      <c r="A156" s="105"/>
    </row>
    <row r="157" spans="1:1" x14ac:dyDescent="0.25">
      <c r="A157" s="107"/>
    </row>
    <row r="158" spans="1:1" x14ac:dyDescent="0.25">
      <c r="A158" s="105"/>
    </row>
    <row r="160" spans="1:1" x14ac:dyDescent="0.25">
      <c r="A160" s="105"/>
    </row>
    <row r="161" spans="1:1" x14ac:dyDescent="0.25">
      <c r="A161" s="106"/>
    </row>
    <row r="162" spans="1:1" x14ac:dyDescent="0.25">
      <c r="A162" s="105"/>
    </row>
    <row r="163" spans="1:1" x14ac:dyDescent="0.25">
      <c r="A163" s="107"/>
    </row>
    <row r="164" spans="1:1" x14ac:dyDescent="0.25">
      <c r="A164" s="105"/>
    </row>
    <row r="166" spans="1:1" x14ac:dyDescent="0.25">
      <c r="A166" s="105"/>
    </row>
    <row r="167" spans="1:1" x14ac:dyDescent="0.25">
      <c r="A167" s="106"/>
    </row>
    <row r="168" spans="1:1" x14ac:dyDescent="0.25">
      <c r="A168" s="105"/>
    </row>
    <row r="169" spans="1:1" x14ac:dyDescent="0.25">
      <c r="A169" s="107"/>
    </row>
    <row r="170" spans="1:1" x14ac:dyDescent="0.25">
      <c r="A170" s="105"/>
    </row>
    <row r="172" spans="1:1" x14ac:dyDescent="0.25">
      <c r="A172" s="105"/>
    </row>
    <row r="173" spans="1:1" x14ac:dyDescent="0.25">
      <c r="A173" s="106"/>
    </row>
    <row r="174" spans="1:1" x14ac:dyDescent="0.25">
      <c r="A174" s="105"/>
    </row>
    <row r="175" spans="1:1" x14ac:dyDescent="0.25">
      <c r="A175" s="107"/>
    </row>
    <row r="176" spans="1:1" x14ac:dyDescent="0.25">
      <c r="A176" s="105"/>
    </row>
  </sheetData>
  <hyperlinks>
    <hyperlink ref="B1" r:id="rId1" display="javascript:submitAction_win5(document.win5,'CRSE_LINK$0');" xr:uid="{8852EE5E-810F-45F9-91C6-1B3BC6581121}"/>
    <hyperlink ref="B2" r:id="rId2" display="javascript:submitAction_win5(document.win5,'CRSE_LINK$1');" xr:uid="{D17BD33E-0A22-4FA8-B4BF-675103916E09}"/>
    <hyperlink ref="B3" r:id="rId3" display="javascript:submitAction_win5(document.win5,'CRSE_LINK$2');" xr:uid="{AFD11E38-9655-4781-AF37-4E4D8C434195}"/>
    <hyperlink ref="B4" r:id="rId4" display="javascript:submitAction_win5(document.win5,'CRSE_LINK$3');" xr:uid="{0D0454D2-012B-44E3-8E1A-1740CA2A599E}"/>
    <hyperlink ref="B5" r:id="rId5" display="javascript:submitAction_win5(document.win5,'CRSE_LINK$4');" xr:uid="{4FE226EB-9D96-41B5-A09A-B5AE9F35966F}"/>
    <hyperlink ref="B6" r:id="rId6" display="javascript:submitAction_win5(document.win5,'CRSE_LINK$5');" xr:uid="{F2D4607B-BF50-48D2-AB7E-11060D445E0A}"/>
    <hyperlink ref="B7" r:id="rId7" display="javascript:submitAction_win5(document.win5,'CRSE_LINK$6');" xr:uid="{5FCF69C5-635A-4125-8757-EF03EF6B0EC3}"/>
    <hyperlink ref="B8" r:id="rId8" display="javascript:submitAction_win5(document.win5,'CRSE_LINK$7');" xr:uid="{22E0D1CA-3A5A-4EC5-A61F-32A3633A7F6B}"/>
    <hyperlink ref="B9" r:id="rId9" display="javascript:submitAction_win5(document.win5,'CRSE_LINK$8');" xr:uid="{440D937A-F8CB-4273-8A38-9F22A54AE4AA}"/>
    <hyperlink ref="B10" r:id="rId10" display="javascript:submitAction_win5(document.win5,'CRSE_LINK$9');" xr:uid="{79DA43EC-8C75-4833-B8A2-7CA1FB44267F}"/>
    <hyperlink ref="B11" r:id="rId11" display="javascript:submitAction_win5(document.win5,'CRSE_LINK$10');" xr:uid="{0316E568-2D4F-49F1-8396-65CDFE3BC0B4}"/>
  </hyperlinks>
  <pageMargins left="0.7" right="0.7" top="0.75" bottom="0.75" header="0.3" footer="0.3"/>
  <drawing r:id="rId12"/>
  <legacyDrawing r:id="rId1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5AD8F-6BEF-4630-9EF3-BAE4C06B42E9}">
  <sheetPr codeName="Sheet3"/>
  <dimension ref="A1:K37"/>
  <sheetViews>
    <sheetView workbookViewId="0">
      <selection activeCell="J17" sqref="J17"/>
    </sheetView>
  </sheetViews>
  <sheetFormatPr defaultRowHeight="15" x14ac:dyDescent="0.25"/>
  <cols>
    <col min="1" max="1" width="58.42578125" customWidth="1"/>
    <col min="2" max="2" width="34" customWidth="1"/>
    <col min="3" max="3" width="33.28515625" customWidth="1"/>
    <col min="4" max="4" width="33.140625" customWidth="1"/>
    <col min="5" max="5" width="33.85546875" customWidth="1"/>
  </cols>
  <sheetData>
    <row r="1" spans="1:11" ht="16.5" thickBot="1" x14ac:dyDescent="0.3">
      <c r="A1" s="230" t="s">
        <v>158</v>
      </c>
      <c r="B1" s="230"/>
      <c r="C1" s="230"/>
      <c r="D1" s="230"/>
      <c r="E1" s="230"/>
      <c r="F1" s="58"/>
      <c r="G1" s="58"/>
      <c r="H1" s="58"/>
      <c r="I1" s="58"/>
      <c r="J1" s="58"/>
      <c r="K1" s="58"/>
    </row>
    <row r="2" spans="1:11" ht="27.75" customHeight="1" thickBot="1" x14ac:dyDescent="0.3">
      <c r="A2" s="74" t="s">
        <v>5</v>
      </c>
      <c r="B2" s="75" t="s">
        <v>159</v>
      </c>
      <c r="C2" s="231" t="s">
        <v>7</v>
      </c>
      <c r="D2" s="232"/>
      <c r="E2" s="233"/>
    </row>
    <row r="3" spans="1:11" x14ac:dyDescent="0.25">
      <c r="A3" s="70" t="s">
        <v>160</v>
      </c>
      <c r="B3" s="71" t="s">
        <v>161</v>
      </c>
      <c r="C3" s="72" t="s">
        <v>162</v>
      </c>
      <c r="D3" s="72"/>
      <c r="E3" s="73"/>
    </row>
    <row r="4" spans="1:11" x14ac:dyDescent="0.25">
      <c r="A4" s="70" t="s">
        <v>517</v>
      </c>
      <c r="B4" s="71" t="s">
        <v>518</v>
      </c>
      <c r="C4" s="59" t="s">
        <v>165</v>
      </c>
      <c r="D4" s="59" t="s">
        <v>58</v>
      </c>
      <c r="E4" s="73" t="s">
        <v>162</v>
      </c>
    </row>
    <row r="5" spans="1:11" x14ac:dyDescent="0.25">
      <c r="A5" s="68" t="s">
        <v>163</v>
      </c>
      <c r="B5" s="17" t="s">
        <v>164</v>
      </c>
      <c r="C5" s="59" t="s">
        <v>165</v>
      </c>
      <c r="D5" s="59" t="s">
        <v>166</v>
      </c>
      <c r="E5" s="69" t="s">
        <v>58</v>
      </c>
    </row>
    <row r="6" spans="1:11" x14ac:dyDescent="0.25">
      <c r="A6" s="68" t="s">
        <v>167</v>
      </c>
      <c r="B6" s="17" t="s">
        <v>168</v>
      </c>
      <c r="C6" s="59" t="s">
        <v>169</v>
      </c>
      <c r="D6" s="59"/>
      <c r="E6" s="69"/>
    </row>
    <row r="7" spans="1:11" x14ac:dyDescent="0.25">
      <c r="A7" s="68" t="s">
        <v>170</v>
      </c>
      <c r="B7" s="17" t="s">
        <v>171</v>
      </c>
      <c r="C7" s="59" t="s">
        <v>172</v>
      </c>
      <c r="D7" s="59" t="s">
        <v>58</v>
      </c>
      <c r="E7" s="69" t="s">
        <v>173</v>
      </c>
    </row>
    <row r="8" spans="1:11" x14ac:dyDescent="0.25">
      <c r="A8" s="68" t="s">
        <v>174</v>
      </c>
      <c r="B8" s="17" t="s">
        <v>175</v>
      </c>
      <c r="C8" s="59" t="s">
        <v>176</v>
      </c>
      <c r="D8" s="59"/>
      <c r="E8" s="69"/>
    </row>
    <row r="9" spans="1:11" x14ac:dyDescent="0.25">
      <c r="A9" s="68" t="s">
        <v>177</v>
      </c>
      <c r="B9" s="17" t="s">
        <v>178</v>
      </c>
      <c r="C9" s="59"/>
      <c r="D9" s="59"/>
      <c r="E9" s="69"/>
    </row>
    <row r="10" spans="1:11" x14ac:dyDescent="0.25">
      <c r="A10" s="68" t="s">
        <v>179</v>
      </c>
      <c r="B10" s="17" t="s">
        <v>180</v>
      </c>
      <c r="C10" s="59" t="s">
        <v>58</v>
      </c>
      <c r="D10" s="59" t="s">
        <v>181</v>
      </c>
      <c r="E10" s="69" t="s">
        <v>162</v>
      </c>
    </row>
    <row r="11" spans="1:11" x14ac:dyDescent="0.25">
      <c r="A11" s="68" t="s">
        <v>182</v>
      </c>
      <c r="B11" s="17" t="s">
        <v>183</v>
      </c>
      <c r="C11" s="59" t="s">
        <v>162</v>
      </c>
      <c r="D11" s="59"/>
      <c r="E11" s="69"/>
    </row>
    <row r="12" spans="1:11" x14ac:dyDescent="0.25">
      <c r="A12" s="68" t="s">
        <v>184</v>
      </c>
      <c r="B12" s="17" t="s">
        <v>185</v>
      </c>
      <c r="C12" s="59" t="s">
        <v>166</v>
      </c>
      <c r="D12" s="59" t="s">
        <v>162</v>
      </c>
      <c r="E12" s="69"/>
    </row>
    <row r="13" spans="1:11" x14ac:dyDescent="0.25">
      <c r="A13" s="68" t="s">
        <v>186</v>
      </c>
      <c r="B13" s="17" t="s">
        <v>187</v>
      </c>
      <c r="C13" s="59" t="s">
        <v>188</v>
      </c>
      <c r="D13" s="59"/>
      <c r="E13" s="69"/>
    </row>
    <row r="14" spans="1:11" x14ac:dyDescent="0.25">
      <c r="A14" s="68" t="s">
        <v>189</v>
      </c>
      <c r="B14" s="17" t="s">
        <v>190</v>
      </c>
      <c r="C14" s="59" t="s">
        <v>162</v>
      </c>
      <c r="D14" s="59"/>
      <c r="E14" s="69"/>
    </row>
    <row r="15" spans="1:11" x14ac:dyDescent="0.25">
      <c r="A15" s="68" t="s">
        <v>191</v>
      </c>
      <c r="B15" s="17" t="s">
        <v>192</v>
      </c>
      <c r="C15" s="59" t="s">
        <v>193</v>
      </c>
      <c r="D15" s="59"/>
      <c r="E15" s="69"/>
    </row>
    <row r="16" spans="1:11" x14ac:dyDescent="0.25">
      <c r="A16" s="68" t="s">
        <v>194</v>
      </c>
      <c r="B16" s="17" t="s">
        <v>195</v>
      </c>
      <c r="C16" s="59" t="s">
        <v>162</v>
      </c>
      <c r="D16" s="59"/>
      <c r="E16" s="69"/>
    </row>
    <row r="17" spans="1:5" x14ac:dyDescent="0.25">
      <c r="A17" s="68" t="s">
        <v>196</v>
      </c>
      <c r="B17" s="17" t="s">
        <v>197</v>
      </c>
      <c r="C17" s="59" t="s">
        <v>162</v>
      </c>
      <c r="D17" s="59"/>
      <c r="E17" s="69"/>
    </row>
    <row r="18" spans="1:5" x14ac:dyDescent="0.25">
      <c r="A18" s="68" t="s">
        <v>198</v>
      </c>
      <c r="B18" s="17" t="s">
        <v>199</v>
      </c>
      <c r="C18" s="59" t="s">
        <v>58</v>
      </c>
      <c r="D18" s="59" t="s">
        <v>162</v>
      </c>
      <c r="E18" s="69"/>
    </row>
    <row r="19" spans="1:5" x14ac:dyDescent="0.25">
      <c r="A19" s="68" t="s">
        <v>200</v>
      </c>
      <c r="B19" s="17" t="s">
        <v>201</v>
      </c>
      <c r="C19" s="59" t="s">
        <v>202</v>
      </c>
      <c r="D19" s="59" t="s">
        <v>203</v>
      </c>
      <c r="E19" s="69"/>
    </row>
    <row r="20" spans="1:5" x14ac:dyDescent="0.25">
      <c r="A20" s="68" t="s">
        <v>204</v>
      </c>
      <c r="B20" s="17" t="s">
        <v>205</v>
      </c>
      <c r="C20" s="59" t="s">
        <v>202</v>
      </c>
      <c r="D20" s="59"/>
      <c r="E20" s="69"/>
    </row>
    <row r="21" spans="1:5" x14ac:dyDescent="0.25">
      <c r="A21" s="68" t="s">
        <v>206</v>
      </c>
      <c r="B21" s="17" t="s">
        <v>207</v>
      </c>
      <c r="C21" s="59" t="s">
        <v>166</v>
      </c>
      <c r="D21" s="59" t="s">
        <v>162</v>
      </c>
      <c r="E21" s="69"/>
    </row>
    <row r="22" spans="1:5" x14ac:dyDescent="0.25">
      <c r="A22" s="68" t="s">
        <v>208</v>
      </c>
      <c r="B22" s="17" t="s">
        <v>209</v>
      </c>
      <c r="C22" s="59" t="s">
        <v>195</v>
      </c>
      <c r="D22" s="59"/>
      <c r="E22" s="69"/>
    </row>
    <row r="23" spans="1:5" x14ac:dyDescent="0.25">
      <c r="A23" s="68" t="s">
        <v>210</v>
      </c>
      <c r="B23" s="17" t="s">
        <v>211</v>
      </c>
      <c r="C23" s="59" t="s">
        <v>202</v>
      </c>
      <c r="D23" s="59"/>
      <c r="E23" s="69"/>
    </row>
    <row r="24" spans="1:5" x14ac:dyDescent="0.25">
      <c r="A24" s="68" t="s">
        <v>212</v>
      </c>
      <c r="B24" s="17" t="s">
        <v>213</v>
      </c>
      <c r="C24" s="59" t="s">
        <v>202</v>
      </c>
      <c r="D24" s="59" t="s">
        <v>214</v>
      </c>
      <c r="E24" s="69"/>
    </row>
    <row r="25" spans="1:5" x14ac:dyDescent="0.25">
      <c r="A25" s="68" t="s">
        <v>215</v>
      </c>
      <c r="B25" s="17" t="s">
        <v>216</v>
      </c>
      <c r="C25" s="59" t="s">
        <v>162</v>
      </c>
      <c r="D25" s="59"/>
      <c r="E25" s="69"/>
    </row>
    <row r="26" spans="1:5" x14ac:dyDescent="0.25">
      <c r="A26" s="68" t="s">
        <v>217</v>
      </c>
      <c r="B26" s="17" t="s">
        <v>218</v>
      </c>
      <c r="C26" s="59" t="s">
        <v>70</v>
      </c>
      <c r="D26" s="59"/>
      <c r="E26" s="69"/>
    </row>
    <row r="27" spans="1:5" x14ac:dyDescent="0.25">
      <c r="A27" s="68" t="s">
        <v>219</v>
      </c>
      <c r="B27" s="17" t="s">
        <v>220</v>
      </c>
      <c r="C27" s="59" t="s">
        <v>221</v>
      </c>
      <c r="D27" s="59" t="s">
        <v>222</v>
      </c>
      <c r="E27" s="69"/>
    </row>
    <row r="28" spans="1:5" x14ac:dyDescent="0.25">
      <c r="A28" s="68" t="s">
        <v>223</v>
      </c>
      <c r="B28" s="17" t="s">
        <v>224</v>
      </c>
      <c r="C28" s="59" t="s">
        <v>225</v>
      </c>
      <c r="D28" s="59" t="s">
        <v>222</v>
      </c>
      <c r="E28" s="69"/>
    </row>
    <row r="29" spans="1:5" x14ac:dyDescent="0.25">
      <c r="A29" s="68" t="s">
        <v>226</v>
      </c>
      <c r="B29" s="17" t="s">
        <v>227</v>
      </c>
      <c r="C29" s="59" t="s">
        <v>221</v>
      </c>
      <c r="D29" s="59" t="s">
        <v>222</v>
      </c>
      <c r="E29" s="69"/>
    </row>
    <row r="30" spans="1:5" x14ac:dyDescent="0.25">
      <c r="A30" s="68" t="s">
        <v>228</v>
      </c>
      <c r="B30" s="17" t="s">
        <v>229</v>
      </c>
      <c r="C30" s="59" t="s">
        <v>222</v>
      </c>
      <c r="D30" s="59"/>
      <c r="E30" s="69"/>
    </row>
    <row r="31" spans="1:5" x14ac:dyDescent="0.25">
      <c r="A31" s="68" t="s">
        <v>230</v>
      </c>
      <c r="B31" s="17" t="s">
        <v>231</v>
      </c>
      <c r="C31" s="59" t="s">
        <v>232</v>
      </c>
      <c r="D31" s="59"/>
      <c r="E31" s="69"/>
    </row>
    <row r="32" spans="1:5" x14ac:dyDescent="0.25">
      <c r="A32" s="171" t="s">
        <v>233</v>
      </c>
      <c r="B32" s="172" t="s">
        <v>234</v>
      </c>
      <c r="C32" s="173" t="s">
        <v>232</v>
      </c>
      <c r="D32" s="173"/>
      <c r="E32" s="174"/>
    </row>
    <row r="33" spans="1:5" x14ac:dyDescent="0.25">
      <c r="A33" s="175" t="s">
        <v>501</v>
      </c>
      <c r="B33" s="175" t="s">
        <v>502</v>
      </c>
      <c r="C33" s="59" t="s">
        <v>503</v>
      </c>
      <c r="D33" s="59" t="s">
        <v>504</v>
      </c>
      <c r="E33" s="59"/>
    </row>
    <row r="34" spans="1:5" x14ac:dyDescent="0.25">
      <c r="A34" s="6"/>
      <c r="B34" s="6"/>
    </row>
    <row r="35" spans="1:5" x14ac:dyDescent="0.25">
      <c r="A35" s="6"/>
      <c r="B35" s="6"/>
    </row>
    <row r="36" spans="1:5" x14ac:dyDescent="0.25">
      <c r="A36" s="6"/>
      <c r="B36" s="6"/>
    </row>
    <row r="37" spans="1:5" x14ac:dyDescent="0.25">
      <c r="A37" s="6"/>
      <c r="B37" s="6"/>
    </row>
  </sheetData>
  <mergeCells count="2">
    <mergeCell ref="A1:E1"/>
    <mergeCell ref="C2:E2"/>
  </mergeCells>
  <conditionalFormatting sqref="B3:B4 B6 B12 B20 B26">
    <cfRule type="expression" dxfId="31" priority="37">
      <formula>$J$8</formula>
    </cfRule>
  </conditionalFormatting>
  <conditionalFormatting sqref="B5 B7 B21 B27">
    <cfRule type="expression" dxfId="30" priority="38">
      <formula>$J$9</formula>
    </cfRule>
  </conditionalFormatting>
  <conditionalFormatting sqref="B8">
    <cfRule type="expression" dxfId="29" priority="31">
      <formula>$J$8</formula>
    </cfRule>
  </conditionalFormatting>
  <conditionalFormatting sqref="B9">
    <cfRule type="expression" dxfId="28" priority="32">
      <formula>$J$9</formula>
    </cfRule>
  </conditionalFormatting>
  <conditionalFormatting sqref="B10">
    <cfRule type="expression" dxfId="27" priority="29">
      <formula>$J$8</formula>
    </cfRule>
  </conditionalFormatting>
  <conditionalFormatting sqref="B11">
    <cfRule type="expression" dxfId="26" priority="30">
      <formula>$J$9</formula>
    </cfRule>
  </conditionalFormatting>
  <conditionalFormatting sqref="B14">
    <cfRule type="expression" dxfId="25" priority="27">
      <formula>$J$8</formula>
    </cfRule>
  </conditionalFormatting>
  <conditionalFormatting sqref="B15">
    <cfRule type="expression" dxfId="24" priority="28">
      <formula>$J$9</formula>
    </cfRule>
  </conditionalFormatting>
  <conditionalFormatting sqref="B16">
    <cfRule type="expression" dxfId="23" priority="25">
      <formula>$J$8</formula>
    </cfRule>
  </conditionalFormatting>
  <conditionalFormatting sqref="B17">
    <cfRule type="expression" dxfId="22" priority="26">
      <formula>$J$9</formula>
    </cfRule>
  </conditionalFormatting>
  <conditionalFormatting sqref="B18">
    <cfRule type="expression" dxfId="21" priority="23">
      <formula>$J$8</formula>
    </cfRule>
  </conditionalFormatting>
  <conditionalFormatting sqref="B19">
    <cfRule type="expression" dxfId="20" priority="24">
      <formula>$J$9</formula>
    </cfRule>
  </conditionalFormatting>
  <conditionalFormatting sqref="B22">
    <cfRule type="expression" dxfId="19" priority="21">
      <formula>$J$8</formula>
    </cfRule>
  </conditionalFormatting>
  <conditionalFormatting sqref="B23">
    <cfRule type="expression" dxfId="18" priority="22">
      <formula>$J$9</formula>
    </cfRule>
  </conditionalFormatting>
  <conditionalFormatting sqref="B24">
    <cfRule type="expression" dxfId="17" priority="19">
      <formula>$J$8</formula>
    </cfRule>
  </conditionalFormatting>
  <conditionalFormatting sqref="B25">
    <cfRule type="expression" dxfId="16" priority="20">
      <formula>$J$9</formula>
    </cfRule>
  </conditionalFormatting>
  <conditionalFormatting sqref="B28">
    <cfRule type="expression" dxfId="15" priority="17">
      <formula>$J$8</formula>
    </cfRule>
  </conditionalFormatting>
  <conditionalFormatting sqref="B29">
    <cfRule type="expression" dxfId="14" priority="18">
      <formula>$J$9</formula>
    </cfRule>
  </conditionalFormatting>
  <conditionalFormatting sqref="B30">
    <cfRule type="expression" dxfId="13" priority="15">
      <formula>$J$8</formula>
    </cfRule>
  </conditionalFormatting>
  <conditionalFormatting sqref="B31:B32">
    <cfRule type="expression" dxfId="12" priority="16">
      <formula>$J$9</formula>
    </cfRule>
  </conditionalFormatting>
  <conditionalFormatting sqref="B13">
    <cfRule type="expression" dxfId="11" priority="14">
      <formula>$J$9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1" id="{44441AF8-0539-484A-9A1B-DFA30F06ED45}">
            <xm:f>'CS Degree Plan'!$G$29</xm:f>
            <x14:dxf>
              <fill>
                <patternFill>
                  <bgColor rgb="FFFFC000"/>
                </patternFill>
              </fill>
            </x14:dxf>
          </x14:cfRule>
          <xm:sqref>E4 D21 D18 E10 C3 C11 D12 C14 C25 C16:C17</xm:sqref>
        </x14:conditionalFormatting>
        <x14:conditionalFormatting xmlns:xm="http://schemas.microsoft.com/office/excel/2006/main">
          <x14:cfRule type="expression" priority="9" id="{D2D81955-12AF-41A8-8CC3-5CAAEB78E95F}">
            <xm:f>'CS Degree Plan'!$G$28</xm:f>
            <x14:dxf>
              <fill>
                <patternFill>
                  <bgColor rgb="FFFFC000"/>
                </patternFill>
              </fill>
            </x14:dxf>
          </x14:cfRule>
          <xm:sqref>D5 C12 C21 C26</xm:sqref>
        </x14:conditionalFormatting>
        <x14:conditionalFormatting xmlns:xm="http://schemas.microsoft.com/office/excel/2006/main">
          <x14:cfRule type="expression" priority="8" id="{2169D056-1DAF-49A4-976C-D178FFC372F1}">
            <xm:f>'CS Degree Plan'!$G$20</xm:f>
            <x14:dxf>
              <fill>
                <patternFill>
                  <bgColor rgb="FFFFC000"/>
                </patternFill>
              </fill>
            </x14:dxf>
          </x14:cfRule>
          <xm:sqref>C8 C13 D10</xm:sqref>
        </x14:conditionalFormatting>
        <x14:conditionalFormatting xmlns:xm="http://schemas.microsoft.com/office/excel/2006/main">
          <x14:cfRule type="expression" priority="7" id="{BC3E432D-9684-449E-B461-4AED15B75046}">
            <xm:f>'CS Degree Plan'!$G$25</xm:f>
            <x14:dxf>
              <fill>
                <patternFill>
                  <bgColor rgb="FFFFC000"/>
                </patternFill>
              </fill>
            </x14:dxf>
          </x14:cfRule>
          <xm:sqref>E5 C18 C10 D7 D4</xm:sqref>
        </x14:conditionalFormatting>
        <x14:conditionalFormatting xmlns:xm="http://schemas.microsoft.com/office/excel/2006/main">
          <x14:cfRule type="expression" priority="6" id="{63CE80E8-3931-4C60-8807-3B8C3C2A1452}">
            <xm:f>'CS Degree Plan'!$G$16</xm:f>
            <x14:dxf>
              <fill>
                <patternFill>
                  <bgColor rgb="FFFFC000"/>
                </patternFill>
              </fill>
            </x14:dxf>
          </x14:cfRule>
          <xm:sqref>C7</xm:sqref>
        </x14:conditionalFormatting>
        <x14:conditionalFormatting xmlns:xm="http://schemas.microsoft.com/office/excel/2006/main">
          <x14:cfRule type="expression" priority="5" id="{D6B34FA4-2DFD-486F-A14C-76B6ED607E39}">
            <xm:f>'CS Degree Plan'!$G$37</xm:f>
            <x14:dxf>
              <fill>
                <patternFill>
                  <bgColor rgb="FFFFC000"/>
                </patternFill>
              </fill>
            </x14:dxf>
          </x14:cfRule>
          <xm:sqref>C19:C20 C23:C24</xm:sqref>
        </x14:conditionalFormatting>
        <x14:conditionalFormatting xmlns:xm="http://schemas.microsoft.com/office/excel/2006/main">
          <x14:cfRule type="expression" priority="3" id="{BAEE56FA-01D8-46A0-9559-DEC544A5FD2D}">
            <xm:f>'CS Degree Plan'!$G$32</xm:f>
            <x14:dxf>
              <fill>
                <patternFill>
                  <bgColor rgb="FFFFC000"/>
                </patternFill>
              </fill>
            </x14:dxf>
          </x14:cfRule>
          <xm:sqref>C30 D27:D29</xm:sqref>
        </x14:conditionalFormatting>
        <x14:conditionalFormatting xmlns:xm="http://schemas.microsoft.com/office/excel/2006/main">
          <x14:cfRule type="expression" priority="1" id="{7A1A15D9-61F1-4711-A51E-CB9CFD05EA9B}">
            <xm:f>'CS Degree Plan'!$G$14</xm:f>
            <x14:dxf>
              <fill>
                <patternFill>
                  <bgColor rgb="FFFFC000"/>
                </patternFill>
              </fill>
            </x14:dxf>
          </x14:cfRule>
          <x14:cfRule type="expression" priority="343" id="{ADAFC978-25EA-4B31-B380-F9E2C919FD00}">
            <xm:f>'CS Degree Plan'!$G$15</xm:f>
            <x14:dxf>
              <fill>
                <patternFill>
                  <bgColor rgb="FFFFC000"/>
                </patternFill>
              </fill>
            </x14:dxf>
          </x14:cfRule>
          <xm:sqref>C4:C5</xm:sqref>
        </x14:conditionalFormatting>
        <x14:conditionalFormatting xmlns:xm="http://schemas.microsoft.com/office/excel/2006/main">
          <x14:cfRule type="expression" priority="363" id="{4E77BC94-DBD3-4E11-A286-064CC9EC37E0}">
            <xm:f>'CS Degree Plan'!$G$40</xm:f>
            <x14:dxf>
              <fill>
                <patternFill>
                  <bgColor rgb="FFFFC000"/>
                </patternFill>
              </fill>
            </x14:dxf>
          </x14:cfRule>
          <xm:sqref>C15</xm:sqref>
        </x14:conditionalFormatting>
        <x14:conditionalFormatting xmlns:xm="http://schemas.microsoft.com/office/excel/2006/main">
          <x14:cfRule type="expression" priority="2" id="{2ACA651D-0C20-4665-8199-A0EF6699A9B9}">
            <xm:f>'CS Degree Plan'!$G$25</xm:f>
            <x14:dxf>
              <fill>
                <patternFill>
                  <bgColor rgb="FFFFC000"/>
                </patternFill>
              </fill>
            </x14:dxf>
          </x14:cfRule>
          <xm:sqref>D4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BC6F13-D6FA-4803-AC5B-49AC9945EFC1}">
  <sheetPr codeName="Sheet5"/>
  <dimension ref="A1:H24"/>
  <sheetViews>
    <sheetView workbookViewId="0">
      <selection activeCell="A26" sqref="A26"/>
    </sheetView>
  </sheetViews>
  <sheetFormatPr defaultRowHeight="15" x14ac:dyDescent="0.25"/>
  <cols>
    <col min="1" max="1" width="61.28515625" bestFit="1" customWidth="1"/>
    <col min="2" max="2" width="11" bestFit="1" customWidth="1"/>
    <col min="3" max="3" width="48" bestFit="1" customWidth="1"/>
    <col min="4" max="4" width="11" bestFit="1" customWidth="1"/>
    <col min="5" max="5" width="39" bestFit="1" customWidth="1"/>
    <col min="6" max="6" width="9.28515625" bestFit="1" customWidth="1"/>
    <col min="7" max="7" width="53.85546875" bestFit="1" customWidth="1"/>
    <col min="8" max="8" width="10.42578125" bestFit="1" customWidth="1"/>
  </cols>
  <sheetData>
    <row r="1" spans="1:8" ht="16.5" thickBot="1" x14ac:dyDescent="0.3">
      <c r="A1" s="234" t="s">
        <v>235</v>
      </c>
      <c r="B1" s="234"/>
      <c r="C1" s="234"/>
      <c r="D1" s="234"/>
      <c r="E1" s="234"/>
      <c r="F1" s="234"/>
      <c r="G1" s="234"/>
      <c r="H1" s="234"/>
    </row>
    <row r="2" spans="1:8" ht="30.75" thickBot="1" x14ac:dyDescent="0.3">
      <c r="A2" s="60" t="s">
        <v>236</v>
      </c>
      <c r="B2" s="61" t="s">
        <v>159</v>
      </c>
      <c r="C2" s="60" t="s">
        <v>237</v>
      </c>
      <c r="D2" s="61" t="s">
        <v>159</v>
      </c>
      <c r="E2" s="60" t="s">
        <v>238</v>
      </c>
      <c r="F2" s="61" t="s">
        <v>159</v>
      </c>
      <c r="G2" s="60" t="s">
        <v>239</v>
      </c>
      <c r="H2" s="61" t="s">
        <v>159</v>
      </c>
    </row>
    <row r="3" spans="1:8" x14ac:dyDescent="0.25">
      <c r="A3" s="62" t="s">
        <v>240</v>
      </c>
      <c r="B3" s="63" t="s">
        <v>241</v>
      </c>
      <c r="C3" s="62" t="s">
        <v>242</v>
      </c>
      <c r="D3" s="63" t="s">
        <v>243</v>
      </c>
      <c r="E3" s="62" t="s">
        <v>244</v>
      </c>
      <c r="F3" s="63" t="s">
        <v>245</v>
      </c>
      <c r="G3" s="62" t="s">
        <v>246</v>
      </c>
      <c r="H3" s="63" t="s">
        <v>247</v>
      </c>
    </row>
    <row r="4" spans="1:8" x14ac:dyDescent="0.25">
      <c r="A4" s="64" t="s">
        <v>248</v>
      </c>
      <c r="B4" s="65" t="s">
        <v>249</v>
      </c>
      <c r="C4" s="64" t="s">
        <v>250</v>
      </c>
      <c r="D4" s="65" t="s">
        <v>251</v>
      </c>
      <c r="E4" s="64" t="s">
        <v>252</v>
      </c>
      <c r="F4" s="65" t="s">
        <v>253</v>
      </c>
      <c r="G4" s="64" t="s">
        <v>254</v>
      </c>
      <c r="H4" s="65" t="s">
        <v>255</v>
      </c>
    </row>
    <row r="5" spans="1:8" x14ac:dyDescent="0.25">
      <c r="A5" s="64" t="s">
        <v>256</v>
      </c>
      <c r="B5" s="65" t="s">
        <v>257</v>
      </c>
      <c r="C5" s="64" t="s">
        <v>258</v>
      </c>
      <c r="D5" s="65" t="s">
        <v>259</v>
      </c>
      <c r="E5" s="64" t="s">
        <v>260</v>
      </c>
      <c r="F5" s="65" t="s">
        <v>261</v>
      </c>
      <c r="G5" s="64" t="s">
        <v>262</v>
      </c>
      <c r="H5" s="65" t="s">
        <v>263</v>
      </c>
    </row>
    <row r="6" spans="1:8" x14ac:dyDescent="0.25">
      <c r="A6" s="64" t="s">
        <v>264</v>
      </c>
      <c r="B6" s="65" t="s">
        <v>265</v>
      </c>
      <c r="C6" s="64" t="s">
        <v>266</v>
      </c>
      <c r="D6" s="65" t="s">
        <v>267</v>
      </c>
      <c r="E6" s="64" t="s">
        <v>268</v>
      </c>
      <c r="F6" s="65" t="s">
        <v>269</v>
      </c>
      <c r="G6" s="64" t="s">
        <v>270</v>
      </c>
      <c r="H6" s="65" t="s">
        <v>271</v>
      </c>
    </row>
    <row r="7" spans="1:8" x14ac:dyDescent="0.25">
      <c r="A7" s="64" t="s">
        <v>272</v>
      </c>
      <c r="B7" s="65" t="s">
        <v>273</v>
      </c>
      <c r="C7" s="64" t="s">
        <v>274</v>
      </c>
      <c r="D7" s="65" t="s">
        <v>275</v>
      </c>
      <c r="E7" s="64" t="s">
        <v>276</v>
      </c>
      <c r="F7" s="65" t="s">
        <v>277</v>
      </c>
      <c r="G7" s="64" t="s">
        <v>278</v>
      </c>
      <c r="H7" s="65" t="s">
        <v>279</v>
      </c>
    </row>
    <row r="8" spans="1:8" x14ac:dyDescent="0.25">
      <c r="A8" s="64" t="s">
        <v>280</v>
      </c>
      <c r="B8" s="65" t="s">
        <v>281</v>
      </c>
      <c r="C8" s="64" t="s">
        <v>282</v>
      </c>
      <c r="D8" s="65" t="s">
        <v>283</v>
      </c>
      <c r="E8" s="64" t="s">
        <v>284</v>
      </c>
      <c r="F8" s="65" t="s">
        <v>285</v>
      </c>
      <c r="G8" s="64" t="s">
        <v>286</v>
      </c>
      <c r="H8" s="65" t="s">
        <v>287</v>
      </c>
    </row>
    <row r="9" spans="1:8" x14ac:dyDescent="0.25">
      <c r="A9" s="64" t="s">
        <v>288</v>
      </c>
      <c r="B9" s="65" t="s">
        <v>289</v>
      </c>
      <c r="C9" s="64" t="s">
        <v>290</v>
      </c>
      <c r="D9" s="65" t="s">
        <v>291</v>
      </c>
      <c r="E9" s="64"/>
      <c r="F9" s="65"/>
      <c r="G9" s="64" t="s">
        <v>292</v>
      </c>
      <c r="H9" s="65" t="s">
        <v>293</v>
      </c>
    </row>
    <row r="10" spans="1:8" x14ac:dyDescent="0.25">
      <c r="A10" s="64" t="s">
        <v>294</v>
      </c>
      <c r="B10" s="65" t="s">
        <v>295</v>
      </c>
      <c r="C10" s="64" t="s">
        <v>296</v>
      </c>
      <c r="D10" s="65" t="s">
        <v>297</v>
      </c>
      <c r="E10" s="64"/>
      <c r="F10" s="65"/>
      <c r="G10" s="64" t="s">
        <v>298</v>
      </c>
      <c r="H10" s="65" t="s">
        <v>299</v>
      </c>
    </row>
    <row r="11" spans="1:8" x14ac:dyDescent="0.25">
      <c r="A11" s="64" t="s">
        <v>300</v>
      </c>
      <c r="B11" s="65" t="s">
        <v>301</v>
      </c>
      <c r="C11" s="64" t="s">
        <v>302</v>
      </c>
      <c r="D11" s="65" t="s">
        <v>303</v>
      </c>
      <c r="E11" s="64"/>
      <c r="F11" s="65"/>
      <c r="G11" s="64" t="s">
        <v>304</v>
      </c>
      <c r="H11" s="65" t="s">
        <v>305</v>
      </c>
    </row>
    <row r="12" spans="1:8" x14ac:dyDescent="0.25">
      <c r="A12" s="64" t="s">
        <v>306</v>
      </c>
      <c r="B12" s="65" t="s">
        <v>307</v>
      </c>
      <c r="C12" s="64" t="s">
        <v>308</v>
      </c>
      <c r="D12" s="65" t="s">
        <v>309</v>
      </c>
      <c r="E12" s="64"/>
      <c r="F12" s="65"/>
      <c r="G12" s="64" t="s">
        <v>310</v>
      </c>
      <c r="H12" s="65" t="s">
        <v>311</v>
      </c>
    </row>
    <row r="13" spans="1:8" x14ac:dyDescent="0.25">
      <c r="A13" s="64" t="s">
        <v>312</v>
      </c>
      <c r="B13" s="65" t="s">
        <v>313</v>
      </c>
      <c r="C13" s="64" t="s">
        <v>314</v>
      </c>
      <c r="D13" s="65" t="s">
        <v>315</v>
      </c>
      <c r="E13" s="64"/>
      <c r="F13" s="65"/>
      <c r="G13" s="64" t="s">
        <v>316</v>
      </c>
      <c r="H13" s="65" t="s">
        <v>317</v>
      </c>
    </row>
    <row r="14" spans="1:8" x14ac:dyDescent="0.25">
      <c r="A14" s="64" t="s">
        <v>318</v>
      </c>
      <c r="B14" s="65" t="s">
        <v>319</v>
      </c>
      <c r="C14" s="64" t="s">
        <v>320</v>
      </c>
      <c r="D14" s="65" t="s">
        <v>321</v>
      </c>
      <c r="E14" s="64"/>
      <c r="F14" s="65"/>
      <c r="G14" s="64" t="s">
        <v>262</v>
      </c>
      <c r="H14" s="65" t="s">
        <v>322</v>
      </c>
    </row>
    <row r="15" spans="1:8" x14ac:dyDescent="0.25">
      <c r="A15" s="64" t="s">
        <v>323</v>
      </c>
      <c r="B15" s="65" t="s">
        <v>324</v>
      </c>
      <c r="C15" s="64" t="s">
        <v>325</v>
      </c>
      <c r="D15" s="65" t="s">
        <v>326</v>
      </c>
      <c r="E15" s="64"/>
      <c r="F15" s="65"/>
      <c r="G15" s="64" t="s">
        <v>327</v>
      </c>
      <c r="H15" s="65" t="s">
        <v>328</v>
      </c>
    </row>
    <row r="16" spans="1:8" x14ac:dyDescent="0.25">
      <c r="A16" s="64" t="s">
        <v>329</v>
      </c>
      <c r="B16" s="65" t="s">
        <v>330</v>
      </c>
      <c r="C16" s="64" t="s">
        <v>331</v>
      </c>
      <c r="D16" s="65" t="s">
        <v>332</v>
      </c>
      <c r="E16" s="64"/>
      <c r="F16" s="65"/>
      <c r="G16" s="64" t="s">
        <v>333</v>
      </c>
      <c r="H16" s="65" t="s">
        <v>334</v>
      </c>
    </row>
    <row r="17" spans="1:8" x14ac:dyDescent="0.25">
      <c r="A17" s="64" t="s">
        <v>335</v>
      </c>
      <c r="B17" s="65" t="s">
        <v>336</v>
      </c>
      <c r="C17" s="64"/>
      <c r="D17" s="65"/>
      <c r="E17" s="64"/>
      <c r="F17" s="65"/>
      <c r="G17" s="64" t="s">
        <v>304</v>
      </c>
      <c r="H17" s="65" t="s">
        <v>337</v>
      </c>
    </row>
    <row r="18" spans="1:8" x14ac:dyDescent="0.25">
      <c r="A18" s="64" t="s">
        <v>338</v>
      </c>
      <c r="B18" s="65" t="s">
        <v>339</v>
      </c>
      <c r="C18" s="64"/>
      <c r="D18" s="65"/>
      <c r="E18" s="64"/>
      <c r="F18" s="65"/>
      <c r="G18" s="64"/>
      <c r="H18" s="65"/>
    </row>
    <row r="19" spans="1:8" x14ac:dyDescent="0.25">
      <c r="A19" s="64" t="s">
        <v>340</v>
      </c>
      <c r="B19" s="65" t="s">
        <v>341</v>
      </c>
      <c r="C19" s="64"/>
      <c r="D19" s="65"/>
      <c r="E19" s="64"/>
      <c r="F19" s="65"/>
      <c r="G19" s="64"/>
      <c r="H19" s="65"/>
    </row>
    <row r="20" spans="1:8" x14ac:dyDescent="0.25">
      <c r="A20" s="64" t="s">
        <v>342</v>
      </c>
      <c r="B20" s="65" t="s">
        <v>343</v>
      </c>
      <c r="C20" s="64"/>
      <c r="D20" s="65"/>
      <c r="E20" s="64"/>
      <c r="F20" s="65"/>
      <c r="G20" s="64"/>
      <c r="H20" s="65"/>
    </row>
    <row r="21" spans="1:8" x14ac:dyDescent="0.25">
      <c r="A21" s="64" t="s">
        <v>344</v>
      </c>
      <c r="B21" s="65" t="s">
        <v>345</v>
      </c>
      <c r="C21" s="64"/>
      <c r="D21" s="65"/>
      <c r="E21" s="64"/>
      <c r="F21" s="65"/>
      <c r="G21" s="64"/>
      <c r="H21" s="65"/>
    </row>
    <row r="22" spans="1:8" x14ac:dyDescent="0.25">
      <c r="A22" s="64" t="s">
        <v>346</v>
      </c>
      <c r="B22" s="65" t="s">
        <v>347</v>
      </c>
      <c r="C22" s="64"/>
      <c r="D22" s="65"/>
      <c r="E22" s="64"/>
      <c r="F22" s="65"/>
      <c r="G22" s="64"/>
      <c r="H22" s="65"/>
    </row>
    <row r="23" spans="1:8" x14ac:dyDescent="0.25">
      <c r="A23" s="64" t="s">
        <v>348</v>
      </c>
      <c r="B23" s="65" t="s">
        <v>349</v>
      </c>
      <c r="C23" s="64"/>
      <c r="D23" s="65"/>
      <c r="E23" s="64"/>
      <c r="F23" s="65"/>
      <c r="G23" s="64"/>
      <c r="H23" s="65"/>
    </row>
    <row r="24" spans="1:8" ht="15.75" thickBot="1" x14ac:dyDescent="0.3">
      <c r="A24" s="66" t="s">
        <v>342</v>
      </c>
      <c r="B24" s="67" t="s">
        <v>350</v>
      </c>
      <c r="C24" s="66"/>
      <c r="D24" s="67"/>
      <c r="E24" s="66"/>
      <c r="F24" s="67"/>
      <c r="G24" s="66"/>
      <c r="H24" s="67"/>
    </row>
  </sheetData>
  <mergeCells count="1">
    <mergeCell ref="A1:H1"/>
  </mergeCells>
  <hyperlinks>
    <hyperlink ref="C8" r:id="rId1" display="https://coursebook.utdallas.edu/search/now/crwt2301" xr:uid="{BE8CF32B-9CF3-425A-807F-67868476D5E8}"/>
    <hyperlink ref="C14" r:id="rId2" display="https://coursebook.utdallas.edu/search/now/musi2322" xr:uid="{D9DF2B7E-6421-4703-A964-0E88C40BFEF9}"/>
    <hyperlink ref="A3" r:id="rId3" display="https://coursebook.utdallas.edu/search/now/ams2300" xr:uid="{BC617D1D-1E46-499C-A757-8842DDF281DB}"/>
    <hyperlink ref="A4" r:id="rId4" display="https://coursebook.utdallas.edu/search/now/ams2341" xr:uid="{AB324102-FD9A-4E3B-920C-0AC419615367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DEE35F-0F70-43DC-89D0-7083C38FEF3B}">
  <sheetPr codeName="Sheet7"/>
  <dimension ref="A1:D109"/>
  <sheetViews>
    <sheetView topLeftCell="A90" workbookViewId="0">
      <selection activeCell="E100" sqref="E100"/>
    </sheetView>
  </sheetViews>
  <sheetFormatPr defaultRowHeight="15" x14ac:dyDescent="0.25"/>
  <cols>
    <col min="1" max="1" width="15.28515625" style="36" customWidth="1"/>
    <col min="2" max="2" width="18" style="36" customWidth="1"/>
    <col min="3" max="3" width="44.5703125" style="36" bestFit="1" customWidth="1"/>
  </cols>
  <sheetData>
    <row r="1" spans="1:4" ht="18.95" customHeight="1" x14ac:dyDescent="0.25">
      <c r="A1" s="95" t="s">
        <v>351</v>
      </c>
      <c r="B1" s="95"/>
      <c r="C1" s="95"/>
    </row>
    <row r="2" spans="1:4" x14ac:dyDescent="0.25">
      <c r="A2" s="96" t="s">
        <v>159</v>
      </c>
      <c r="B2" s="96" t="s">
        <v>352</v>
      </c>
      <c r="C2" s="96" t="s">
        <v>11</v>
      </c>
    </row>
    <row r="3" spans="1:4" x14ac:dyDescent="0.25">
      <c r="A3" s="97" t="s">
        <v>353</v>
      </c>
      <c r="B3" s="97" t="s">
        <v>354</v>
      </c>
      <c r="C3" s="97" t="s">
        <v>355</v>
      </c>
      <c r="D3" s="98"/>
    </row>
    <row r="4" spans="1:4" x14ac:dyDescent="0.25">
      <c r="A4" s="97" t="s">
        <v>356</v>
      </c>
      <c r="B4" s="97" t="s">
        <v>357</v>
      </c>
      <c r="C4" s="97"/>
      <c r="D4" s="98"/>
    </row>
    <row r="5" spans="1:4" x14ac:dyDescent="0.25">
      <c r="A5" s="97" t="s">
        <v>358</v>
      </c>
      <c r="B5" s="99" t="s">
        <v>359</v>
      </c>
      <c r="C5" s="97"/>
      <c r="D5" s="98"/>
    </row>
    <row r="6" spans="1:4" x14ac:dyDescent="0.25">
      <c r="A6" s="97" t="s">
        <v>360</v>
      </c>
      <c r="B6" s="99" t="s">
        <v>361</v>
      </c>
      <c r="C6" s="97" t="s">
        <v>362</v>
      </c>
      <c r="D6" s="98"/>
    </row>
    <row r="7" spans="1:4" x14ac:dyDescent="0.25">
      <c r="A7" s="97" t="s">
        <v>360</v>
      </c>
      <c r="B7" s="99" t="s">
        <v>363</v>
      </c>
      <c r="C7" s="97" t="s">
        <v>362</v>
      </c>
      <c r="D7" s="98"/>
    </row>
    <row r="8" spans="1:4" x14ac:dyDescent="0.25">
      <c r="A8" s="97" t="s">
        <v>364</v>
      </c>
      <c r="B8" s="99" t="s">
        <v>27</v>
      </c>
      <c r="C8" s="97" t="s">
        <v>365</v>
      </c>
      <c r="D8" s="98"/>
    </row>
    <row r="9" spans="1:4" x14ac:dyDescent="0.25">
      <c r="A9" s="97" t="s">
        <v>364</v>
      </c>
      <c r="B9" s="99" t="s">
        <v>366</v>
      </c>
      <c r="C9" s="97" t="s">
        <v>367</v>
      </c>
      <c r="D9" s="98"/>
    </row>
    <row r="10" spans="1:4" x14ac:dyDescent="0.25">
      <c r="A10" s="97" t="s">
        <v>368</v>
      </c>
      <c r="B10" s="99" t="s">
        <v>369</v>
      </c>
      <c r="C10" s="97"/>
      <c r="D10" s="98"/>
    </row>
    <row r="11" spans="1:4" x14ac:dyDescent="0.25">
      <c r="A11" s="97" t="s">
        <v>368</v>
      </c>
      <c r="B11" s="99" t="s">
        <v>370</v>
      </c>
      <c r="C11" s="97" t="s">
        <v>371</v>
      </c>
      <c r="D11" s="98"/>
    </row>
    <row r="12" spans="1:4" x14ac:dyDescent="0.25">
      <c r="A12" s="97" t="s">
        <v>368</v>
      </c>
      <c r="B12" s="99" t="s">
        <v>372</v>
      </c>
      <c r="C12" s="97" t="s">
        <v>365</v>
      </c>
      <c r="D12" s="98"/>
    </row>
    <row r="13" spans="1:4" x14ac:dyDescent="0.25">
      <c r="A13" s="97" t="s">
        <v>373</v>
      </c>
      <c r="B13" s="99" t="s">
        <v>374</v>
      </c>
      <c r="C13" s="97" t="s">
        <v>367</v>
      </c>
      <c r="D13" s="98"/>
    </row>
    <row r="14" spans="1:4" x14ac:dyDescent="0.25">
      <c r="A14" s="97" t="s">
        <v>373</v>
      </c>
      <c r="B14" s="99" t="s">
        <v>375</v>
      </c>
      <c r="C14" s="97" t="s">
        <v>367</v>
      </c>
      <c r="D14" s="98"/>
    </row>
    <row r="15" spans="1:4" x14ac:dyDescent="0.25">
      <c r="A15" s="36" t="s">
        <v>376</v>
      </c>
      <c r="B15" s="99" t="s">
        <v>377</v>
      </c>
      <c r="C15" s="97" t="s">
        <v>362</v>
      </c>
      <c r="D15" s="98"/>
    </row>
    <row r="16" spans="1:4" x14ac:dyDescent="0.25">
      <c r="A16" s="36" t="s">
        <v>376</v>
      </c>
      <c r="B16" s="99" t="s">
        <v>378</v>
      </c>
      <c r="C16" s="97" t="s">
        <v>367</v>
      </c>
      <c r="D16" s="98"/>
    </row>
    <row r="17" spans="1:4" x14ac:dyDescent="0.25">
      <c r="A17" s="36" t="s">
        <v>376</v>
      </c>
      <c r="B17" s="99" t="s">
        <v>379</v>
      </c>
      <c r="C17" s="97" t="s">
        <v>380</v>
      </c>
      <c r="D17" s="98"/>
    </row>
    <row r="18" spans="1:4" x14ac:dyDescent="0.25">
      <c r="A18" s="36" t="s">
        <v>381</v>
      </c>
      <c r="B18" s="99"/>
      <c r="C18" s="97" t="s">
        <v>382</v>
      </c>
      <c r="D18" s="98"/>
    </row>
    <row r="19" spans="1:4" x14ac:dyDescent="0.25">
      <c r="A19" s="36" t="s">
        <v>383</v>
      </c>
      <c r="B19" s="99" t="s">
        <v>384</v>
      </c>
      <c r="C19" s="97"/>
      <c r="D19" s="98"/>
    </row>
    <row r="20" spans="1:4" x14ac:dyDescent="0.25">
      <c r="A20" s="36" t="s">
        <v>385</v>
      </c>
      <c r="B20" s="99" t="s">
        <v>386</v>
      </c>
      <c r="C20" s="97" t="s">
        <v>362</v>
      </c>
      <c r="D20" s="98"/>
    </row>
    <row r="21" spans="1:4" x14ac:dyDescent="0.25">
      <c r="A21" s="36" t="s">
        <v>385</v>
      </c>
      <c r="B21" s="99" t="s">
        <v>387</v>
      </c>
      <c r="C21" s="97" t="s">
        <v>367</v>
      </c>
      <c r="D21" s="98"/>
    </row>
    <row r="22" spans="1:4" x14ac:dyDescent="0.25">
      <c r="A22" s="36" t="s">
        <v>385</v>
      </c>
      <c r="B22" s="99" t="s">
        <v>388</v>
      </c>
      <c r="C22" s="97" t="s">
        <v>367</v>
      </c>
      <c r="D22" s="98"/>
    </row>
    <row r="23" spans="1:4" x14ac:dyDescent="0.25">
      <c r="A23" s="36" t="s">
        <v>385</v>
      </c>
      <c r="B23" s="99" t="s">
        <v>389</v>
      </c>
      <c r="C23" s="97" t="s">
        <v>362</v>
      </c>
      <c r="D23" s="98"/>
    </row>
    <row r="24" spans="1:4" x14ac:dyDescent="0.25">
      <c r="A24" s="36" t="s">
        <v>390</v>
      </c>
      <c r="B24" s="99" t="s">
        <v>359</v>
      </c>
      <c r="C24" s="97"/>
      <c r="D24" s="98"/>
    </row>
    <row r="25" spans="1:4" x14ac:dyDescent="0.25">
      <c r="A25" s="36" t="s">
        <v>391</v>
      </c>
      <c r="B25" s="99"/>
      <c r="C25" s="97" t="s">
        <v>392</v>
      </c>
      <c r="D25" s="98"/>
    </row>
    <row r="26" spans="1:4" ht="15" customHeight="1" x14ac:dyDescent="0.25">
      <c r="A26" s="97" t="s">
        <v>393</v>
      </c>
      <c r="B26" s="99" t="s">
        <v>394</v>
      </c>
    </row>
    <row r="27" spans="1:4" ht="15" customHeight="1" x14ac:dyDescent="0.25">
      <c r="A27" s="97" t="s">
        <v>393</v>
      </c>
      <c r="B27" s="99" t="s">
        <v>395</v>
      </c>
      <c r="C27" s="36" t="s">
        <v>396</v>
      </c>
    </row>
    <row r="28" spans="1:4" ht="15" customHeight="1" x14ac:dyDescent="0.25">
      <c r="A28" s="97" t="s">
        <v>397</v>
      </c>
      <c r="B28" s="99" t="s">
        <v>398</v>
      </c>
    </row>
    <row r="29" spans="1:4" ht="15" customHeight="1" x14ac:dyDescent="0.25">
      <c r="A29" s="97" t="s">
        <v>397</v>
      </c>
      <c r="B29" s="99" t="s">
        <v>399</v>
      </c>
      <c r="C29" s="36" t="s">
        <v>371</v>
      </c>
    </row>
    <row r="30" spans="1:4" ht="15" customHeight="1" x14ac:dyDescent="0.25">
      <c r="A30" s="97" t="s">
        <v>400</v>
      </c>
      <c r="B30" s="99" t="s">
        <v>401</v>
      </c>
    </row>
    <row r="31" spans="1:4" ht="15" customHeight="1" x14ac:dyDescent="0.25">
      <c r="A31" s="97" t="s">
        <v>400</v>
      </c>
      <c r="B31" s="99" t="s">
        <v>402</v>
      </c>
    </row>
    <row r="32" spans="1:4" ht="15" customHeight="1" x14ac:dyDescent="0.25">
      <c r="A32" s="97" t="s">
        <v>400</v>
      </c>
      <c r="B32" s="99" t="s">
        <v>403</v>
      </c>
    </row>
    <row r="33" spans="1:4" ht="15" customHeight="1" x14ac:dyDescent="0.25">
      <c r="A33" s="100" t="s">
        <v>404</v>
      </c>
      <c r="B33" s="99" t="s">
        <v>405</v>
      </c>
    </row>
    <row r="34" spans="1:4" ht="15" customHeight="1" x14ac:dyDescent="0.25">
      <c r="A34" s="100" t="s">
        <v>406</v>
      </c>
      <c r="B34" s="99" t="s">
        <v>407</v>
      </c>
    </row>
    <row r="35" spans="1:4" ht="15" customHeight="1" x14ac:dyDescent="0.25">
      <c r="A35" s="100" t="s">
        <v>408</v>
      </c>
      <c r="B35" s="99" t="s">
        <v>409</v>
      </c>
    </row>
    <row r="36" spans="1:4" x14ac:dyDescent="0.25">
      <c r="A36" s="97" t="s">
        <v>410</v>
      </c>
      <c r="B36" s="99" t="s">
        <v>411</v>
      </c>
    </row>
    <row r="37" spans="1:4" x14ac:dyDescent="0.25">
      <c r="A37" s="97" t="s">
        <v>412</v>
      </c>
      <c r="B37" s="99" t="s">
        <v>413</v>
      </c>
    </row>
    <row r="38" spans="1:4" x14ac:dyDescent="0.25">
      <c r="A38" s="97" t="s">
        <v>414</v>
      </c>
      <c r="B38" s="97" t="s">
        <v>415</v>
      </c>
      <c r="C38" s="97"/>
      <c r="D38" s="98"/>
    </row>
    <row r="39" spans="1:4" x14ac:dyDescent="0.25">
      <c r="A39" s="97" t="s">
        <v>416</v>
      </c>
      <c r="B39" s="97" t="s">
        <v>417</v>
      </c>
      <c r="C39" s="97"/>
      <c r="D39" s="98"/>
    </row>
    <row r="40" spans="1:4" x14ac:dyDescent="0.25">
      <c r="A40" s="97" t="s">
        <v>418</v>
      </c>
      <c r="B40" s="97" t="s">
        <v>419</v>
      </c>
      <c r="C40" s="97"/>
      <c r="D40" s="98"/>
    </row>
    <row r="41" spans="1:4" x14ac:dyDescent="0.25">
      <c r="A41" s="101" t="s">
        <v>15</v>
      </c>
      <c r="B41" s="99" t="s">
        <v>359</v>
      </c>
      <c r="C41" s="97"/>
      <c r="D41" s="98"/>
    </row>
    <row r="42" spans="1:4" ht="15" customHeight="1" x14ac:dyDescent="0.25">
      <c r="A42" s="97" t="s">
        <v>420</v>
      </c>
      <c r="B42" s="99" t="s">
        <v>27</v>
      </c>
      <c r="C42" s="36" t="s">
        <v>421</v>
      </c>
    </row>
    <row r="43" spans="1:4" ht="15" customHeight="1" x14ac:dyDescent="0.25">
      <c r="A43" s="97" t="s">
        <v>420</v>
      </c>
      <c r="B43" s="99" t="s">
        <v>422</v>
      </c>
    </row>
    <row r="44" spans="1:4" ht="15" customHeight="1" x14ac:dyDescent="0.25">
      <c r="A44" s="97" t="s">
        <v>420</v>
      </c>
      <c r="B44" s="99" t="s">
        <v>423</v>
      </c>
    </row>
    <row r="45" spans="1:4" ht="15" customHeight="1" x14ac:dyDescent="0.25">
      <c r="A45" s="97" t="s">
        <v>420</v>
      </c>
      <c r="B45" s="99" t="s">
        <v>364</v>
      </c>
      <c r="C45" s="36" t="s">
        <v>424</v>
      </c>
    </row>
    <row r="46" spans="1:4" ht="15" customHeight="1" x14ac:dyDescent="0.25">
      <c r="A46" s="97" t="s">
        <v>21</v>
      </c>
      <c r="B46" s="99" t="s">
        <v>425</v>
      </c>
      <c r="C46" s="36" t="s">
        <v>371</v>
      </c>
    </row>
    <row r="47" spans="1:4" ht="15" customHeight="1" x14ac:dyDescent="0.25">
      <c r="A47" s="97" t="s">
        <v>21</v>
      </c>
      <c r="B47" s="99" t="s">
        <v>426</v>
      </c>
      <c r="C47" s="36" t="s">
        <v>427</v>
      </c>
    </row>
    <row r="48" spans="1:4" ht="15" customHeight="1" x14ac:dyDescent="0.25">
      <c r="A48" s="97" t="s">
        <v>21</v>
      </c>
      <c r="B48" s="99" t="s">
        <v>428</v>
      </c>
    </row>
    <row r="49" spans="1:3" ht="15" customHeight="1" x14ac:dyDescent="0.25">
      <c r="A49" s="97" t="s">
        <v>21</v>
      </c>
      <c r="B49" s="99" t="s">
        <v>429</v>
      </c>
      <c r="C49" s="36" t="s">
        <v>371</v>
      </c>
    </row>
    <row r="50" spans="1:3" ht="15" customHeight="1" x14ac:dyDescent="0.25">
      <c r="A50" s="97" t="s">
        <v>21</v>
      </c>
      <c r="B50" s="99" t="s">
        <v>430</v>
      </c>
      <c r="C50" s="36" t="s">
        <v>427</v>
      </c>
    </row>
    <row r="51" spans="1:3" ht="15" customHeight="1" x14ac:dyDescent="0.25">
      <c r="A51" s="97" t="s">
        <v>431</v>
      </c>
      <c r="B51" s="99" t="s">
        <v>394</v>
      </c>
    </row>
    <row r="52" spans="1:3" ht="15" customHeight="1" x14ac:dyDescent="0.25">
      <c r="A52" s="97" t="s">
        <v>431</v>
      </c>
      <c r="B52" s="99" t="s">
        <v>395</v>
      </c>
      <c r="C52" s="36" t="s">
        <v>396</v>
      </c>
    </row>
    <row r="53" spans="1:3" ht="15" customHeight="1" x14ac:dyDescent="0.25">
      <c r="A53" s="97" t="s">
        <v>62</v>
      </c>
      <c r="B53" s="99" t="s">
        <v>405</v>
      </c>
    </row>
    <row r="54" spans="1:3" ht="15" customHeight="1" x14ac:dyDescent="0.25">
      <c r="A54" s="97" t="s">
        <v>432</v>
      </c>
      <c r="B54" s="99" t="s">
        <v>398</v>
      </c>
    </row>
    <row r="55" spans="1:3" ht="15" customHeight="1" x14ac:dyDescent="0.25">
      <c r="A55" s="97" t="s">
        <v>432</v>
      </c>
      <c r="B55" s="99" t="s">
        <v>399</v>
      </c>
    </row>
    <row r="56" spans="1:3" ht="15" customHeight="1" x14ac:dyDescent="0.25">
      <c r="A56" s="97" t="s">
        <v>30</v>
      </c>
      <c r="B56" s="99" t="s">
        <v>433</v>
      </c>
    </row>
    <row r="57" spans="1:3" ht="15" customHeight="1" x14ac:dyDescent="0.25">
      <c r="A57" s="97" t="s">
        <v>30</v>
      </c>
      <c r="B57" s="99" t="s">
        <v>434</v>
      </c>
      <c r="C57" s="36" t="s">
        <v>371</v>
      </c>
    </row>
    <row r="58" spans="1:3" ht="15" customHeight="1" x14ac:dyDescent="0.25">
      <c r="A58" s="97" t="s">
        <v>30</v>
      </c>
      <c r="B58" s="99" t="s">
        <v>435</v>
      </c>
    </row>
    <row r="59" spans="1:3" ht="15" customHeight="1" x14ac:dyDescent="0.25">
      <c r="A59" s="97" t="s">
        <v>53</v>
      </c>
      <c r="B59" s="99" t="s">
        <v>520</v>
      </c>
    </row>
    <row r="60" spans="1:3" ht="15" customHeight="1" x14ac:dyDescent="0.25">
      <c r="A60" s="97" t="s">
        <v>57</v>
      </c>
      <c r="B60" s="99" t="s">
        <v>436</v>
      </c>
    </row>
    <row r="61" spans="1:3" ht="15" customHeight="1" x14ac:dyDescent="0.25">
      <c r="A61" s="97" t="s">
        <v>54</v>
      </c>
      <c r="B61" s="99" t="s">
        <v>521</v>
      </c>
    </row>
    <row r="62" spans="1:3" ht="15" customHeight="1" x14ac:dyDescent="0.25">
      <c r="A62" s="97" t="s">
        <v>61</v>
      </c>
      <c r="B62" s="99" t="s">
        <v>522</v>
      </c>
    </row>
    <row r="63" spans="1:3" x14ac:dyDescent="0.25">
      <c r="A63" s="97" t="s">
        <v>70</v>
      </c>
      <c r="B63" s="99" t="s">
        <v>437</v>
      </c>
      <c r="C63" s="36" t="s">
        <v>438</v>
      </c>
    </row>
    <row r="64" spans="1:3" x14ac:dyDescent="0.25">
      <c r="A64" s="97" t="s">
        <v>70</v>
      </c>
      <c r="B64" s="99" t="s">
        <v>439</v>
      </c>
      <c r="C64" s="36" t="s">
        <v>438</v>
      </c>
    </row>
    <row r="65" spans="1:3" x14ac:dyDescent="0.25">
      <c r="A65" s="97" t="s">
        <v>75</v>
      </c>
      <c r="B65" s="99" t="s">
        <v>523</v>
      </c>
    </row>
    <row r="66" spans="1:3" x14ac:dyDescent="0.25">
      <c r="A66" s="97" t="s">
        <v>77</v>
      </c>
      <c r="B66" s="99" t="s">
        <v>524</v>
      </c>
    </row>
    <row r="67" spans="1:3" x14ac:dyDescent="0.25">
      <c r="A67" s="97" t="s">
        <v>13</v>
      </c>
      <c r="B67" s="99" t="s">
        <v>440</v>
      </c>
    </row>
    <row r="68" spans="1:3" x14ac:dyDescent="0.25">
      <c r="A68" s="97" t="s">
        <v>13</v>
      </c>
      <c r="B68" s="99" t="s">
        <v>359</v>
      </c>
      <c r="C68" s="99" t="s">
        <v>427</v>
      </c>
    </row>
    <row r="69" spans="1:3" x14ac:dyDescent="0.25">
      <c r="A69" s="97" t="s">
        <v>88</v>
      </c>
      <c r="B69" s="99" t="s">
        <v>475</v>
      </c>
      <c r="C69" s="99"/>
    </row>
    <row r="70" spans="1:3" x14ac:dyDescent="0.25">
      <c r="A70" s="97" t="s">
        <v>441</v>
      </c>
      <c r="B70" s="99" t="s">
        <v>359</v>
      </c>
      <c r="C70" s="99" t="s">
        <v>427</v>
      </c>
    </row>
    <row r="71" spans="1:3" x14ac:dyDescent="0.25">
      <c r="A71" s="97" t="s">
        <v>441</v>
      </c>
      <c r="B71" s="99" t="s">
        <v>442</v>
      </c>
      <c r="C71" s="99" t="s">
        <v>427</v>
      </c>
    </row>
    <row r="72" spans="1:3" x14ac:dyDescent="0.25">
      <c r="A72" s="97" t="s">
        <v>441</v>
      </c>
      <c r="B72" s="99" t="s">
        <v>443</v>
      </c>
      <c r="C72" s="99" t="s">
        <v>427</v>
      </c>
    </row>
    <row r="73" spans="1:3" x14ac:dyDescent="0.25">
      <c r="A73" s="100" t="s">
        <v>361</v>
      </c>
      <c r="B73" s="99"/>
      <c r="C73" s="99" t="s">
        <v>444</v>
      </c>
    </row>
    <row r="74" spans="1:3" x14ac:dyDescent="0.25">
      <c r="A74" s="100" t="s">
        <v>361</v>
      </c>
      <c r="B74" s="99" t="s">
        <v>443</v>
      </c>
      <c r="C74" s="99" t="s">
        <v>445</v>
      </c>
    </row>
    <row r="75" spans="1:3" x14ac:dyDescent="0.25">
      <c r="A75" s="100" t="s">
        <v>361</v>
      </c>
      <c r="B75" s="99" t="s">
        <v>442</v>
      </c>
      <c r="C75" s="99" t="s">
        <v>445</v>
      </c>
    </row>
    <row r="76" spans="1:3" x14ac:dyDescent="0.25">
      <c r="A76" s="100" t="s">
        <v>361</v>
      </c>
      <c r="B76" s="99" t="s">
        <v>401</v>
      </c>
      <c r="C76" s="99" t="s">
        <v>445</v>
      </c>
    </row>
    <row r="77" spans="1:3" x14ac:dyDescent="0.25">
      <c r="A77" s="100" t="s">
        <v>361</v>
      </c>
      <c r="B77" s="99" t="s">
        <v>402</v>
      </c>
      <c r="C77" s="99" t="s">
        <v>445</v>
      </c>
    </row>
    <row r="78" spans="1:3" x14ac:dyDescent="0.25">
      <c r="A78" s="100" t="s">
        <v>361</v>
      </c>
      <c r="B78" s="99" t="s">
        <v>360</v>
      </c>
      <c r="C78" s="99" t="s">
        <v>446</v>
      </c>
    </row>
    <row r="79" spans="1:3" x14ac:dyDescent="0.25">
      <c r="A79" s="100" t="s">
        <v>361</v>
      </c>
      <c r="B79" s="99" t="s">
        <v>363</v>
      </c>
      <c r="C79" s="99" t="s">
        <v>446</v>
      </c>
    </row>
    <row r="80" spans="1:3" x14ac:dyDescent="0.25">
      <c r="A80" s="100" t="s">
        <v>403</v>
      </c>
      <c r="B80" s="99" t="s">
        <v>401</v>
      </c>
      <c r="C80" s="99"/>
    </row>
    <row r="81" spans="1:4" x14ac:dyDescent="0.25">
      <c r="A81" s="100" t="s">
        <v>403</v>
      </c>
      <c r="B81" s="99" t="s">
        <v>402</v>
      </c>
      <c r="C81" s="99" t="s">
        <v>371</v>
      </c>
    </row>
    <row r="82" spans="1:4" x14ac:dyDescent="0.25">
      <c r="A82" s="100" t="s">
        <v>403</v>
      </c>
      <c r="B82" s="99" t="s">
        <v>400</v>
      </c>
      <c r="C82" s="99"/>
    </row>
    <row r="83" spans="1:4" x14ac:dyDescent="0.25">
      <c r="A83" s="100" t="s">
        <v>447</v>
      </c>
      <c r="B83" s="99" t="s">
        <v>448</v>
      </c>
      <c r="C83" s="99" t="s">
        <v>449</v>
      </c>
    </row>
    <row r="84" spans="1:4" ht="15" customHeight="1" x14ac:dyDescent="0.25">
      <c r="A84" s="100" t="s">
        <v>447</v>
      </c>
      <c r="B84" s="99" t="s">
        <v>450</v>
      </c>
      <c r="C84" s="99" t="s">
        <v>451</v>
      </c>
    </row>
    <row r="85" spans="1:4" x14ac:dyDescent="0.25">
      <c r="A85" s="100" t="s">
        <v>452</v>
      </c>
      <c r="B85" s="99" t="s">
        <v>453</v>
      </c>
      <c r="C85" s="99"/>
    </row>
    <row r="86" spans="1:4" x14ac:dyDescent="0.25">
      <c r="A86" s="100" t="s">
        <v>377</v>
      </c>
      <c r="B86" s="99" t="s">
        <v>454</v>
      </c>
      <c r="C86" s="99"/>
    </row>
    <row r="87" spans="1:4" x14ac:dyDescent="0.25">
      <c r="A87" s="97" t="s">
        <v>455</v>
      </c>
      <c r="B87" s="99" t="s">
        <v>58</v>
      </c>
      <c r="C87" s="99" t="s">
        <v>371</v>
      </c>
    </row>
    <row r="88" spans="1:4" x14ac:dyDescent="0.25">
      <c r="A88" s="97" t="s">
        <v>456</v>
      </c>
      <c r="B88" s="99" t="s">
        <v>359</v>
      </c>
      <c r="C88" s="99" t="s">
        <v>427</v>
      </c>
    </row>
    <row r="89" spans="1:4" x14ac:dyDescent="0.25">
      <c r="A89" s="97" t="s">
        <v>457</v>
      </c>
      <c r="B89" s="99" t="s">
        <v>360</v>
      </c>
      <c r="C89" s="99" t="s">
        <v>458</v>
      </c>
      <c r="D89" s="103"/>
    </row>
    <row r="90" spans="1:4" x14ac:dyDescent="0.25">
      <c r="A90" s="97" t="s">
        <v>457</v>
      </c>
      <c r="B90" s="99"/>
      <c r="C90" s="36" t="s">
        <v>459</v>
      </c>
    </row>
    <row r="91" spans="1:4" x14ac:dyDescent="0.25">
      <c r="A91" s="97" t="s">
        <v>460</v>
      </c>
      <c r="B91" s="99" t="s">
        <v>369</v>
      </c>
    </row>
    <row r="92" spans="1:4" x14ac:dyDescent="0.25">
      <c r="A92" s="97" t="s">
        <v>461</v>
      </c>
      <c r="B92" s="99" t="s">
        <v>462</v>
      </c>
    </row>
    <row r="93" spans="1:4" x14ac:dyDescent="0.25">
      <c r="A93" s="97" t="s">
        <v>463</v>
      </c>
      <c r="B93" s="99" t="s">
        <v>464</v>
      </c>
    </row>
    <row r="94" spans="1:4" x14ac:dyDescent="0.25">
      <c r="A94" s="97" t="s">
        <v>463</v>
      </c>
      <c r="B94" s="99" t="s">
        <v>465</v>
      </c>
      <c r="D94" s="79"/>
    </row>
    <row r="95" spans="1:4" x14ac:dyDescent="0.25">
      <c r="A95" s="102" t="s">
        <v>466</v>
      </c>
      <c r="B95" s="99"/>
      <c r="C95" s="99" t="s">
        <v>467</v>
      </c>
    </row>
    <row r="96" spans="1:4" x14ac:dyDescent="0.25">
      <c r="A96" s="97" t="s">
        <v>468</v>
      </c>
      <c r="B96" s="104" t="s">
        <v>469</v>
      </c>
      <c r="C96" s="36" t="s">
        <v>371</v>
      </c>
    </row>
    <row r="97" spans="1:3" x14ac:dyDescent="0.25">
      <c r="A97" s="97" t="s">
        <v>470</v>
      </c>
      <c r="B97" s="104" t="s">
        <v>469</v>
      </c>
      <c r="C97" s="36" t="s">
        <v>427</v>
      </c>
    </row>
    <row r="98" spans="1:3" x14ac:dyDescent="0.25">
      <c r="A98" s="97" t="s">
        <v>471</v>
      </c>
      <c r="B98" s="104" t="s">
        <v>472</v>
      </c>
      <c r="C98" s="36" t="s">
        <v>371</v>
      </c>
    </row>
    <row r="99" spans="1:3" x14ac:dyDescent="0.25">
      <c r="A99" s="97" t="s">
        <v>473</v>
      </c>
      <c r="B99" s="104" t="s">
        <v>472</v>
      </c>
      <c r="C99" s="36" t="s">
        <v>427</v>
      </c>
    </row>
    <row r="100" spans="1:3" x14ac:dyDescent="0.25">
      <c r="A100" s="99" t="s">
        <v>95</v>
      </c>
      <c r="B100" s="97" t="s">
        <v>474</v>
      </c>
      <c r="C100" s="99"/>
    </row>
    <row r="101" spans="1:3" x14ac:dyDescent="0.25">
      <c r="A101" s="36" t="s">
        <v>435</v>
      </c>
      <c r="B101" s="36" t="s">
        <v>433</v>
      </c>
    </row>
    <row r="102" spans="1:3" x14ac:dyDescent="0.25">
      <c r="A102" s="36" t="s">
        <v>435</v>
      </c>
      <c r="B102" s="36" t="s">
        <v>434</v>
      </c>
    </row>
    <row r="103" spans="1:3" x14ac:dyDescent="0.25">
      <c r="A103" s="36" t="s">
        <v>435</v>
      </c>
      <c r="B103" s="36" t="s">
        <v>30</v>
      </c>
    </row>
    <row r="104" spans="1:3" x14ac:dyDescent="0.25">
      <c r="A104" s="36" t="s">
        <v>520</v>
      </c>
      <c r="B104" s="36" t="s">
        <v>53</v>
      </c>
    </row>
    <row r="105" spans="1:3" x14ac:dyDescent="0.25">
      <c r="A105" s="36" t="s">
        <v>436</v>
      </c>
      <c r="B105" s="36" t="s">
        <v>57</v>
      </c>
    </row>
    <row r="106" spans="1:3" x14ac:dyDescent="0.25">
      <c r="A106" s="36" t="s">
        <v>521</v>
      </c>
      <c r="B106" s="36" t="s">
        <v>54</v>
      </c>
    </row>
    <row r="107" spans="1:3" x14ac:dyDescent="0.25">
      <c r="A107" s="36" t="s">
        <v>522</v>
      </c>
      <c r="B107" s="36" t="s">
        <v>61</v>
      </c>
    </row>
    <row r="108" spans="1:3" x14ac:dyDescent="0.25">
      <c r="A108" s="36" t="s">
        <v>523</v>
      </c>
      <c r="B108" s="36" t="s">
        <v>75</v>
      </c>
    </row>
    <row r="109" spans="1:3" x14ac:dyDescent="0.25">
      <c r="A109" s="36" t="s">
        <v>524</v>
      </c>
      <c r="B109" s="36" t="s">
        <v>77</v>
      </c>
    </row>
  </sheetData>
  <hyperlinks>
    <hyperlink ref="A95" r:id="rId1" xr:uid="{8296E4C3-D62E-4E43-94D4-E8B222C080BC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H15"/>
  <sheetViews>
    <sheetView workbookViewId="0">
      <selection activeCell="B21" sqref="B21"/>
    </sheetView>
  </sheetViews>
  <sheetFormatPr defaultRowHeight="15" x14ac:dyDescent="0.25"/>
  <cols>
    <col min="6" max="6" width="11" bestFit="1" customWidth="1"/>
  </cols>
  <sheetData>
    <row r="1" spans="1:8" x14ac:dyDescent="0.25">
      <c r="A1" t="s">
        <v>63</v>
      </c>
      <c r="E1" t="s">
        <v>99</v>
      </c>
      <c r="F1" t="s">
        <v>99</v>
      </c>
      <c r="G1" t="s">
        <v>99</v>
      </c>
      <c r="H1" t="s">
        <v>99</v>
      </c>
    </row>
    <row r="2" spans="1:8" x14ac:dyDescent="0.25">
      <c r="A2" t="s">
        <v>432</v>
      </c>
      <c r="E2" t="s">
        <v>245</v>
      </c>
      <c r="F2" t="s">
        <v>476</v>
      </c>
      <c r="G2" t="s">
        <v>477</v>
      </c>
      <c r="H2" t="s">
        <v>255</v>
      </c>
    </row>
    <row r="3" spans="1:8" x14ac:dyDescent="0.25">
      <c r="A3" t="s">
        <v>478</v>
      </c>
      <c r="E3" t="s">
        <v>253</v>
      </c>
      <c r="F3" t="s">
        <v>479</v>
      </c>
      <c r="G3" t="s">
        <v>480</v>
      </c>
      <c r="H3" t="s">
        <v>481</v>
      </c>
    </row>
    <row r="4" spans="1:8" x14ac:dyDescent="0.25">
      <c r="A4" t="s">
        <v>39</v>
      </c>
      <c r="E4" t="s">
        <v>261</v>
      </c>
      <c r="F4" t="s">
        <v>295</v>
      </c>
      <c r="G4" t="s">
        <v>482</v>
      </c>
      <c r="H4" t="s">
        <v>271</v>
      </c>
    </row>
    <row r="5" spans="1:8" x14ac:dyDescent="0.25">
      <c r="A5" t="s">
        <v>34</v>
      </c>
      <c r="E5" t="s">
        <v>483</v>
      </c>
      <c r="F5" t="s">
        <v>484</v>
      </c>
      <c r="G5" t="s">
        <v>485</v>
      </c>
      <c r="H5" t="s">
        <v>486</v>
      </c>
    </row>
    <row r="6" spans="1:8" x14ac:dyDescent="0.25">
      <c r="A6" t="s">
        <v>36</v>
      </c>
      <c r="E6" t="s">
        <v>277</v>
      </c>
      <c r="F6" t="s">
        <v>487</v>
      </c>
      <c r="G6" t="s">
        <v>488</v>
      </c>
      <c r="H6" t="s">
        <v>287</v>
      </c>
    </row>
    <row r="7" spans="1:8" x14ac:dyDescent="0.25">
      <c r="A7" t="s">
        <v>47</v>
      </c>
      <c r="E7" t="s">
        <v>489</v>
      </c>
      <c r="F7" t="s">
        <v>490</v>
      </c>
      <c r="G7" t="s">
        <v>303</v>
      </c>
      <c r="H7" t="s">
        <v>491</v>
      </c>
    </row>
    <row r="8" spans="1:8" x14ac:dyDescent="0.25">
      <c r="A8" t="s">
        <v>492</v>
      </c>
      <c r="F8" t="s">
        <v>347</v>
      </c>
      <c r="G8" t="s">
        <v>493</v>
      </c>
      <c r="H8" t="s">
        <v>299</v>
      </c>
    </row>
    <row r="9" spans="1:8" x14ac:dyDescent="0.25">
      <c r="A9" t="s">
        <v>494</v>
      </c>
      <c r="G9" t="s">
        <v>495</v>
      </c>
      <c r="H9" t="s">
        <v>305</v>
      </c>
    </row>
    <row r="10" spans="1:8" x14ac:dyDescent="0.25">
      <c r="G10" t="s">
        <v>321</v>
      </c>
      <c r="H10" t="s">
        <v>317</v>
      </c>
    </row>
    <row r="11" spans="1:8" x14ac:dyDescent="0.25">
      <c r="G11" t="s">
        <v>496</v>
      </c>
      <c r="H11" t="s">
        <v>497</v>
      </c>
    </row>
    <row r="12" spans="1:8" x14ac:dyDescent="0.25">
      <c r="H12" t="s">
        <v>498</v>
      </c>
    </row>
    <row r="13" spans="1:8" x14ac:dyDescent="0.25">
      <c r="H13" t="s">
        <v>337</v>
      </c>
    </row>
    <row r="14" spans="1:8" x14ac:dyDescent="0.25">
      <c r="H14" t="s">
        <v>499</v>
      </c>
    </row>
    <row r="15" spans="1:8" x14ac:dyDescent="0.25">
      <c r="H15" t="s">
        <v>500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c180978b-904f-4c5c-9058-2c26186aea13">
      <Terms xmlns="http://schemas.microsoft.com/office/infopath/2007/PartnerControls"/>
    </lcf76f155ced4ddcb4097134ff3c332f>
    <TaxCatchAll xmlns="56c8b440-306d-489d-945f-81a3709f2f5d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3DB7C6127D82A47AB363234F69BBC03" ma:contentTypeVersion="18" ma:contentTypeDescription="Create a new document." ma:contentTypeScope="" ma:versionID="b5bcafe8576cb8ae96ecec3ebedeab0f">
  <xsd:schema xmlns:xsd="http://www.w3.org/2001/XMLSchema" xmlns:xs="http://www.w3.org/2001/XMLSchema" xmlns:p="http://schemas.microsoft.com/office/2006/metadata/properties" xmlns:ns2="c180978b-904f-4c5c-9058-2c26186aea13" xmlns:ns3="56c8b440-306d-489d-945f-81a3709f2f5d" targetNamespace="http://schemas.microsoft.com/office/2006/metadata/properties" ma:root="true" ma:fieldsID="125452bfcd36fa90318a33d2febaa769" ns2:_="" ns3:_="">
    <xsd:import namespace="c180978b-904f-4c5c-9058-2c26186aea13"/>
    <xsd:import namespace="56c8b440-306d-489d-945f-81a3709f2f5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Location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180978b-904f-4c5c-9058-2c26186aea1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07bf7e85-f484-4784-9b3f-9950356a544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Location" ma:index="24" nillable="true" ma:displayName="Location" ma:indexed="true" ma:internalName="MediaServiceLocation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6c8b440-306d-489d-945f-81a3709f2f5d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a20c4137-23ec-4687-8c11-0893a55d0b7c}" ma:internalName="TaxCatchAll" ma:showField="CatchAllData" ma:web="56c8b440-306d-489d-945f-81a3709f2f5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700B80E-7D8B-4F06-9943-5714CE898621}">
  <ds:schemaRefs>
    <ds:schemaRef ds:uri="http://purl.org/dc/elements/1.1/"/>
    <ds:schemaRef ds:uri="56c8b440-306d-489d-945f-81a3709f2f5d"/>
    <ds:schemaRef ds:uri="http://schemas.microsoft.com/office/2006/metadata/properties"/>
    <ds:schemaRef ds:uri="http://purl.org/dc/dcmitype/"/>
    <ds:schemaRef ds:uri="http://schemas.microsoft.com/office/2006/documentManagement/types"/>
    <ds:schemaRef ds:uri="http://purl.org/dc/terms/"/>
    <ds:schemaRef ds:uri="c180978b-904f-4c5c-9058-2c26186aea13"/>
    <ds:schemaRef ds:uri="http://schemas.microsoft.com/office/infopath/2007/PartnerControls"/>
    <ds:schemaRef ds:uri="http://www.w3.org/XML/1998/namespace"/>
    <ds:schemaRef ds:uri="http://schemas.openxmlformats.org/package/2006/metadata/core-properties"/>
  </ds:schemaRefs>
</ds:datastoreItem>
</file>

<file path=customXml/itemProps2.xml><?xml version="1.0" encoding="utf-8"?>
<ds:datastoreItem xmlns:ds="http://schemas.openxmlformats.org/officeDocument/2006/customXml" ds:itemID="{5DAD756D-2177-4D87-BACF-040C5619DCF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9DF1AA3-44B7-4031-BFF6-D49E72FBF9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180978b-904f-4c5c-9058-2c26186aea13"/>
    <ds:schemaRef ds:uri="56c8b440-306d-489d-945f-81a3709f2f5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</vt:i4>
      </vt:variant>
    </vt:vector>
  </HeadingPairs>
  <TitlesOfParts>
    <vt:vector size="10" baseType="lpstr">
      <vt:lpstr>CS Degree Plan</vt:lpstr>
      <vt:lpstr>CS Flow Chart</vt:lpstr>
      <vt:lpstr>Minor</vt:lpstr>
      <vt:lpstr>Course History</vt:lpstr>
      <vt:lpstr>Technical Electives</vt:lpstr>
      <vt:lpstr>State Core</vt:lpstr>
      <vt:lpstr>Substitutions</vt:lpstr>
      <vt:lpstr>Table</vt:lpstr>
      <vt:lpstr>'CS Degree Plan'!Print_Area</vt:lpstr>
      <vt:lpstr>'CS Flow Chart'!Print_Area</vt:lpstr>
    </vt:vector>
  </TitlesOfParts>
  <Manager/>
  <Company>University of Texas at Dallas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Computer Science Dept.</dc:creator>
  <cp:keywords/>
  <dc:description/>
  <cp:lastModifiedBy>Kim, Allen Thomas</cp:lastModifiedBy>
  <cp:revision/>
  <dcterms:created xsi:type="dcterms:W3CDTF">2020-03-17T13:56:33Z</dcterms:created>
  <dcterms:modified xsi:type="dcterms:W3CDTF">2026-03-09T14:30:36Z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0x01010073DB7C6127D82A47AB363234F69BBC03</vt:lpwstr>
  </property>
  <property fmtid="{D5CDD505-2E9C-101B-9397-08002B2CF9AE}" pid="3" name="MediaServiceImageTags">
    <vt:lpwstr/>
  </property>
</Properties>
</file>